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A4851905-621A-44E6-A23C-7AA1B0095246}" xr6:coauthVersionLast="47" xr6:coauthVersionMax="47" xr10:uidLastSave="{00000000-0000-0000-0000-000000000000}"/>
  <bookViews>
    <workbookView xWindow="-28920" yWindow="-45" windowWidth="29040" windowHeight="15720" activeTab="1" xr2:uid="{2225D1DE-10E0-4C5B-8AB5-7C7C8107A0F8}"/>
  </bookViews>
  <sheets>
    <sheet name="Datos del grupo" sheetId="7" r:id="rId1"/>
    <sheet name="Estudiante 1" sheetId="1" r:id="rId2"/>
    <sheet name="Estudiante 2" sheetId="4" r:id="rId3"/>
    <sheet name="Estudiante 3" sheetId="5" r:id="rId4"/>
    <sheet name="Estudiante 4" sheetId="6" r:id="rId5"/>
    <sheet name="Estudiante 5" sheetId="8" r:id="rId6"/>
    <sheet name="Hoja docente" sheetId="3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8" l="1"/>
  <c r="F9" i="8"/>
  <c r="C33" i="3" s="1"/>
  <c r="E9" i="8"/>
  <c r="C32" i="3" s="1"/>
  <c r="D9" i="8"/>
  <c r="C31" i="3" s="1"/>
  <c r="F9" i="6"/>
  <c r="D9" i="6"/>
  <c r="C25" i="3" s="1"/>
  <c r="G9" i="6"/>
  <c r="C28" i="3" s="1"/>
  <c r="E9" i="6"/>
  <c r="G9" i="5"/>
  <c r="C22" i="3" s="1"/>
  <c r="F9" i="5"/>
  <c r="E9" i="5"/>
  <c r="C20" i="3" s="1"/>
  <c r="D9" i="5"/>
  <c r="C19" i="3" s="1"/>
  <c r="G9" i="4"/>
  <c r="C16" i="3" s="1"/>
  <c r="F9" i="4"/>
  <c r="C15" i="3" s="1"/>
  <c r="E9" i="4"/>
  <c r="C14" i="3" s="1"/>
  <c r="D9" i="4"/>
  <c r="C13" i="3" s="1"/>
  <c r="G34" i="8" a="1"/>
  <c r="G34" i="8" s="1"/>
  <c r="F34" i="8" a="1"/>
  <c r="F34" i="8" s="1"/>
  <c r="E34" i="8" a="1"/>
  <c r="E34" i="8" s="1"/>
  <c r="D34" i="8" a="1"/>
  <c r="D34" i="8" s="1"/>
  <c r="G29" i="8" a="1"/>
  <c r="G29" i="8" s="1"/>
  <c r="F29" i="8" a="1"/>
  <c r="F29" i="8" s="1"/>
  <c r="E29" i="8" a="1"/>
  <c r="E29" i="8" s="1"/>
  <c r="D29" i="8" a="1"/>
  <c r="D29" i="8" s="1"/>
  <c r="G24" i="8" a="1"/>
  <c r="G24" i="8" s="1"/>
  <c r="F24" i="8" a="1"/>
  <c r="F24" i="8" s="1"/>
  <c r="E24" i="8" a="1"/>
  <c r="E24" i="8" s="1"/>
  <c r="D24" i="8" a="1"/>
  <c r="D24" i="8" s="1"/>
  <c r="G19" i="8" a="1"/>
  <c r="G19" i="8" s="1"/>
  <c r="F19" i="8" a="1"/>
  <c r="F19" i="8" s="1"/>
  <c r="E19" i="8" a="1"/>
  <c r="E19" i="8" s="1"/>
  <c r="D19" i="8" a="1"/>
  <c r="D19" i="8" s="1"/>
  <c r="G14" i="8" a="1"/>
  <c r="G14" i="8" s="1"/>
  <c r="F14" i="8" a="1"/>
  <c r="F14" i="8" s="1"/>
  <c r="E14" i="8" a="1"/>
  <c r="E14" i="8" s="1"/>
  <c r="D14" i="8" a="1"/>
  <c r="D14" i="8" s="1"/>
  <c r="G34" i="6" a="1"/>
  <c r="G34" i="6" s="1"/>
  <c r="F34" i="6" a="1"/>
  <c r="F34" i="6" s="1"/>
  <c r="E34" i="6" a="1"/>
  <c r="E34" i="6" s="1"/>
  <c r="D34" i="6" a="1"/>
  <c r="D34" i="6" s="1"/>
  <c r="G29" i="6" a="1"/>
  <c r="G29" i="6" s="1"/>
  <c r="F29" i="6" a="1"/>
  <c r="F29" i="6" s="1"/>
  <c r="E29" i="6" a="1"/>
  <c r="E29" i="6" s="1"/>
  <c r="D29" i="6" a="1"/>
  <c r="D29" i="6" s="1"/>
  <c r="G24" i="6" a="1"/>
  <c r="G24" i="6" s="1"/>
  <c r="F24" i="6" a="1"/>
  <c r="F24" i="6" s="1"/>
  <c r="E24" i="6" a="1"/>
  <c r="E24" i="6" s="1"/>
  <c r="D24" i="6" a="1"/>
  <c r="D24" i="6" s="1"/>
  <c r="G19" i="6" a="1"/>
  <c r="G19" i="6" s="1"/>
  <c r="F19" i="6" a="1"/>
  <c r="F19" i="6" s="1"/>
  <c r="E19" i="6" a="1"/>
  <c r="E19" i="6" s="1"/>
  <c r="D19" i="6" a="1"/>
  <c r="D19" i="6" s="1"/>
  <c r="G14" i="6" a="1"/>
  <c r="G14" i="6" s="1"/>
  <c r="F14" i="6" a="1"/>
  <c r="F14" i="6" s="1"/>
  <c r="E14" i="6" a="1"/>
  <c r="E14" i="6" s="1"/>
  <c r="D14" i="6" a="1"/>
  <c r="D14" i="6" s="1"/>
  <c r="C26" i="3"/>
  <c r="G34" i="5" a="1"/>
  <c r="G34" i="5" s="1"/>
  <c r="F34" i="5" a="1"/>
  <c r="F34" i="5" s="1"/>
  <c r="E34" i="5" a="1"/>
  <c r="E34" i="5" s="1"/>
  <c r="D34" i="5" a="1"/>
  <c r="D34" i="5" s="1"/>
  <c r="G29" i="5" a="1"/>
  <c r="G29" i="5" s="1"/>
  <c r="F29" i="5" a="1"/>
  <c r="F29" i="5" s="1"/>
  <c r="E29" i="5" a="1"/>
  <c r="E29" i="5" s="1"/>
  <c r="D29" i="5" a="1"/>
  <c r="D29" i="5" s="1"/>
  <c r="G24" i="5" a="1"/>
  <c r="G24" i="5" s="1"/>
  <c r="F24" i="5" a="1"/>
  <c r="F24" i="5" s="1"/>
  <c r="E24" i="5" a="1"/>
  <c r="E24" i="5" s="1"/>
  <c r="D24" i="5" a="1"/>
  <c r="D24" i="5" s="1"/>
  <c r="G19" i="5" a="1"/>
  <c r="G19" i="5" s="1"/>
  <c r="F19" i="5" a="1"/>
  <c r="F19" i="5" s="1"/>
  <c r="E19" i="5" a="1"/>
  <c r="E19" i="5" s="1"/>
  <c r="D19" i="5" a="1"/>
  <c r="D19" i="5" s="1"/>
  <c r="G14" i="5" a="1"/>
  <c r="G14" i="5" s="1"/>
  <c r="F14" i="5" a="1"/>
  <c r="F14" i="5" s="1"/>
  <c r="E14" i="5" a="1"/>
  <c r="E14" i="5" s="1"/>
  <c r="D14" i="5" a="1"/>
  <c r="D14" i="5" s="1"/>
  <c r="G34" i="4" a="1"/>
  <c r="G34" i="4" s="1"/>
  <c r="F34" i="4" a="1"/>
  <c r="F34" i="4" s="1"/>
  <c r="E34" i="4" a="1"/>
  <c r="E34" i="4" s="1"/>
  <c r="D34" i="4" a="1"/>
  <c r="D34" i="4" s="1"/>
  <c r="G29" i="4" a="1"/>
  <c r="G29" i="4" s="1"/>
  <c r="F29" i="4" a="1"/>
  <c r="F29" i="4" s="1"/>
  <c r="E29" i="4" a="1"/>
  <c r="E29" i="4" s="1"/>
  <c r="D29" i="4" a="1"/>
  <c r="D29" i="4" s="1"/>
  <c r="G24" i="4" a="1"/>
  <c r="G24" i="4" s="1"/>
  <c r="F24" i="4" a="1"/>
  <c r="F24" i="4" s="1"/>
  <c r="E24" i="4" a="1"/>
  <c r="E24" i="4" s="1"/>
  <c r="D24" i="4" a="1"/>
  <c r="D24" i="4" s="1"/>
  <c r="G19" i="4" a="1"/>
  <c r="G19" i="4" s="1"/>
  <c r="F19" i="4" a="1"/>
  <c r="F19" i="4" s="1"/>
  <c r="E19" i="4" a="1"/>
  <c r="E19" i="4" s="1"/>
  <c r="D19" i="4" a="1"/>
  <c r="D19" i="4" s="1"/>
  <c r="G14" i="4" a="1"/>
  <c r="G14" i="4" s="1"/>
  <c r="F14" i="4" a="1"/>
  <c r="F14" i="4" s="1"/>
  <c r="E14" i="4" a="1"/>
  <c r="E14" i="4" s="1"/>
  <c r="D14" i="4" a="1"/>
  <c r="D14" i="4" s="1"/>
  <c r="E29" i="1" a="1"/>
  <c r="E29" i="1" s="1"/>
  <c r="D34" i="1" a="1"/>
  <c r="D34" i="1" s="1"/>
  <c r="E34" i="1" a="1"/>
  <c r="E34" i="1" s="1"/>
  <c r="G34" i="1" a="1"/>
  <c r="G34" i="1" s="1"/>
  <c r="F34" i="1" a="1"/>
  <c r="F34" i="1" s="1"/>
  <c r="G29" i="1" a="1"/>
  <c r="G29" i="1" s="1"/>
  <c r="F29" i="1" a="1"/>
  <c r="F29" i="1" s="1"/>
  <c r="D29" i="1" a="1"/>
  <c r="D29" i="1" s="1"/>
  <c r="G24" i="1" a="1"/>
  <c r="G24" i="1" s="1"/>
  <c r="F24" i="1" a="1"/>
  <c r="F24" i="1" s="1"/>
  <c r="E24" i="1" a="1"/>
  <c r="E24" i="1" s="1"/>
  <c r="D24" i="1" a="1"/>
  <c r="D24" i="1" s="1"/>
  <c r="G19" i="1" a="1"/>
  <c r="G19" i="1" s="1"/>
  <c r="F19" i="1" a="1"/>
  <c r="F19" i="1" s="1"/>
  <c r="E19" i="1" a="1"/>
  <c r="E19" i="1" s="1"/>
  <c r="D19" i="1" a="1"/>
  <c r="D19" i="1" s="1"/>
  <c r="D14" i="1" a="1"/>
  <c r="D14" i="1" s="1"/>
  <c r="G14" i="1" a="1"/>
  <c r="G14" i="1" s="1"/>
  <c r="F14" i="1" a="1"/>
  <c r="F14" i="1" s="1"/>
  <c r="E14" i="1" a="1"/>
  <c r="E14" i="1" s="1"/>
  <c r="C34" i="3"/>
  <c r="C5" i="8"/>
  <c r="C4" i="8"/>
  <c r="C3" i="8"/>
  <c r="C2" i="8"/>
  <c r="B31" i="3" s="1"/>
  <c r="C27" i="3"/>
  <c r="C5" i="6"/>
  <c r="C4" i="6"/>
  <c r="C3" i="6"/>
  <c r="C2" i="6"/>
  <c r="B25" i="3" s="1"/>
  <c r="C21" i="3"/>
  <c r="C5" i="5"/>
  <c r="C4" i="5"/>
  <c r="C3" i="5"/>
  <c r="C2" i="5"/>
  <c r="B19" i="3" s="1"/>
  <c r="C5" i="4"/>
  <c r="C4" i="4"/>
  <c r="C3" i="4"/>
  <c r="C4" i="1"/>
  <c r="B9" i="3" s="1"/>
  <c r="C3" i="1"/>
  <c r="C2" i="4"/>
  <c r="G8" i="3" s="1"/>
  <c r="G9" i="1"/>
  <c r="C10" i="3" s="1"/>
  <c r="F9" i="1"/>
  <c r="C9" i="3" s="1"/>
  <c r="E9" i="1"/>
  <c r="C8" i="3" s="1"/>
  <c r="D9" i="1"/>
  <c r="C7" i="3" s="1"/>
  <c r="C5" i="1"/>
  <c r="C2" i="1"/>
  <c r="B7" i="3" s="1"/>
  <c r="D7" i="1" l="1"/>
  <c r="B15" i="3"/>
  <c r="B21" i="3"/>
  <c r="G9" i="3"/>
  <c r="B13" i="3"/>
  <c r="G10" i="3"/>
  <c r="D7" i="3"/>
  <c r="G11" i="3"/>
  <c r="B27" i="3"/>
  <c r="B33" i="3"/>
  <c r="G7" i="3"/>
  <c r="D7" i="8"/>
  <c r="D31" i="3" s="1"/>
  <c r="E7" i="8"/>
  <c r="D32" i="3" s="1"/>
  <c r="F7" i="8"/>
  <c r="D33" i="3" s="1"/>
  <c r="G7" i="8"/>
  <c r="D34" i="3" s="1"/>
  <c r="G7" i="4"/>
  <c r="D16" i="3" s="1"/>
  <c r="G7" i="5"/>
  <c r="D22" i="3" s="1"/>
  <c r="F7" i="5"/>
  <c r="D21" i="3" s="1"/>
  <c r="E7" i="5"/>
  <c r="D20" i="3" s="1"/>
  <c r="D7" i="5"/>
  <c r="D19" i="3" s="1"/>
  <c r="D7" i="6"/>
  <c r="D25" i="3" s="1"/>
  <c r="E7" i="6"/>
  <c r="D26" i="3" s="1"/>
  <c r="F7" i="6"/>
  <c r="D27" i="3" s="1"/>
  <c r="G7" i="6"/>
  <c r="D28" i="3" s="1"/>
  <c r="E7" i="4"/>
  <c r="D14" i="3" s="1"/>
  <c r="D7" i="4"/>
  <c r="F7" i="4"/>
  <c r="D15" i="3" s="1"/>
  <c r="F7" i="1"/>
  <c r="D9" i="3" s="1"/>
  <c r="G7" i="1"/>
  <c r="D10" i="3" s="1"/>
  <c r="E7" i="1"/>
  <c r="D8" i="3" s="1"/>
  <c r="D13" i="3" l="1"/>
  <c r="H11" i="3" l="1"/>
  <c r="H7" i="3"/>
  <c r="H8" i="3"/>
  <c r="H9" i="3"/>
  <c r="H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<sst xmlns="http://schemas.openxmlformats.org/spreadsheetml/2006/main" count="228" uniqueCount="58">
  <si>
    <t>Criterio de Evaluación</t>
  </si>
  <si>
    <t>Indicadores</t>
  </si>
  <si>
    <t>Participación en la toma de decisiones del equipo</t>
  </si>
  <si>
    <t xml:space="preserve">Participación en la ejecución de las actividades en equipo
</t>
  </si>
  <si>
    <t>Entrega oportuna en los tiempos pautados</t>
  </si>
  <si>
    <t>Revisión de ajustes o modificaciones</t>
  </si>
  <si>
    <t xml:space="preserve">Los entregables cumplen con las características pautadas en la actividad académica </t>
  </si>
  <si>
    <t>A</t>
  </si>
  <si>
    <t>B</t>
  </si>
  <si>
    <t>C</t>
  </si>
  <si>
    <t>D</t>
  </si>
  <si>
    <t>Nombre 1er Evaluado</t>
  </si>
  <si>
    <t>Nombre 2do Evaluado</t>
  </si>
  <si>
    <t>Nombre 3er Evaluado</t>
  </si>
  <si>
    <t>Nombre 4to Evaluado</t>
  </si>
  <si>
    <t>RUBRICA DE COEVALUACIÓN</t>
  </si>
  <si>
    <t>Estudiante calificado</t>
  </si>
  <si>
    <t>Nota</t>
  </si>
  <si>
    <t>Nombre Estudiante que Califica</t>
  </si>
  <si>
    <t>Correo</t>
  </si>
  <si>
    <t>Grupo</t>
  </si>
  <si>
    <t>Asignatura</t>
  </si>
  <si>
    <t>Estudiante Evaluador</t>
  </si>
  <si>
    <t>Grupo Asignado en Plataforma</t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</si>
  <si>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No participa en la toma de decisiones del equipo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</si>
  <si>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Participa en la toma de decisiones del equipo, facilitando el diálogo abierto, pero sin tomar una postura de liderazgo del equipo.</t>
    </r>
  </si>
  <si>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.Participa ocasionalmente en la toma de decisiones del equipo, los aportes son limitados.</t>
    </r>
  </si>
  <si>
    <r>
      <rPr>
        <b/>
        <sz val="11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 Participa en la toma de decisiones del equipo, desde una postura de líder, facilitando el diálogo y proponiendo vías de acción a posibles dificultades dentro del grupo.</t>
    </r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</si>
  <si>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No participa en la ejecución de actividades en equipo.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</si>
  <si>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Participa en las actividades solicitadas sin tomar ningún rol protagónico en el equipo y sin cumplir con los tiempos requeridos.</t>
    </r>
  </si>
  <si>
    <r>
      <rPr>
        <b/>
        <sz val="11"/>
        <color theme="1"/>
        <rFont val="Calibri"/>
        <family val="2"/>
        <scheme val="minor"/>
      </rPr>
      <t xml:space="preserve">C. </t>
    </r>
    <r>
      <rPr>
        <sz val="11"/>
        <color theme="1"/>
        <rFont val="Calibri"/>
        <family val="2"/>
        <scheme val="minor"/>
      </rPr>
      <t>Participa activamente en la ejecución de las actividades, siguiendo el rol y tareas designadas, dentro de los tiempos requeridos.</t>
    </r>
  </si>
  <si>
    <r>
      <rPr>
        <b/>
        <sz val="11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 Participa activamente en la ejecución de las actividades, organizando las tareas a realizar, designando roles y actividades, dentro de los tiempos requeridos.</t>
    </r>
  </si>
  <si>
    <r>
      <t xml:space="preserve">A. </t>
    </r>
    <r>
      <rPr>
        <sz val="11"/>
        <color theme="1"/>
        <rFont val="Calibri"/>
        <family val="2"/>
        <scheme val="minor"/>
      </rPr>
      <t>No realiza los aportes solicitados.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</si>
  <si>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Responde las participaciones de la mayoría de las asignaciones, presentando retrasos en algunas de ellas.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</si>
  <si>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Responde entregando la totalidad de los documentos, con algunos retrasos a los tiempos pautados por todo el equipo.</t>
    </r>
  </si>
  <si>
    <r>
      <rPr>
        <b/>
        <sz val="11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 Responde con prontitud a los tiempos pautados por todo el equipo, entregando la totalidad de los documentos</t>
    </r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</si>
  <si>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No realiza ajustes o modificaciones solicitadas.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</si>
  <si>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Realiza ajustes y/o modificaciones solicitadas fuera de los tiempos requeridos por el equipo y sin mucha profundidad.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</si>
  <si>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Realiza ajustes y/o modificaciones dentro de los tiempos estipulados por el equipo, pero sin mayor profundidad.</t>
    </r>
  </si>
  <si>
    <t>D.Realiza los ajustes y/o modificaciones requeridos por el equipo de forma concienzuda, dentro de los tiempos estipulados.</t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</si>
  <si>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Los entregables no cumplen con las características pautadas en la actividad académica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</si>
  <si>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Los entregables cumplen con algunas características pautadas en la actividad académica, pero con algunas inconsistencias en fondo o forma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</si>
  <si>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Los entregables cumplen con todas las características pautadas en la actividad académica, pero con algunas inconsistencias en fondo o forma</t>
    </r>
  </si>
  <si>
    <r>
      <rPr>
        <b/>
        <sz val="11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 Los entregables se ajustan en su  totalidad a lo solicitado en las actividades académicas</t>
    </r>
  </si>
  <si>
    <t>GRUPO #</t>
  </si>
  <si>
    <t>ASIGNATURA</t>
  </si>
  <si>
    <t xml:space="preserve">CORREO </t>
  </si>
  <si>
    <t>Nota Definitiva</t>
  </si>
  <si>
    <t>Estudiante 1</t>
  </si>
  <si>
    <t>Estudiante 2</t>
  </si>
  <si>
    <t>Estudiante 3</t>
  </si>
  <si>
    <t>Estudiante 4</t>
  </si>
  <si>
    <t>Estudiante 5</t>
  </si>
  <si>
    <t>HOJA A CALIFICAR</t>
  </si>
  <si>
    <t xml:space="preserve">NOMBRE ESTUDIANTES </t>
  </si>
  <si>
    <t>EXTRACCION TRANSFORMACION Y CARGA DE DATOS</t>
  </si>
  <si>
    <t>Miguel Angel Caballero Garcia</t>
  </si>
  <si>
    <t>mangelcaballero@ucompensar.edu.co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</si>
</sst>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4" borderId="5" xfId="0" applyFill="1" applyBorder="1" applyProtection="1">
      <protection hidden="1"/>
    </xf>
    <xf numFmtId="0" fontId="0" fillId="4" borderId="0" xfId="0" applyFill="1" applyAlignment="1" applyProtection="1">
      <alignment wrapText="1"/>
      <protection hidden="1"/>
    </xf>
    <xf numFmtId="0" fontId="0" fillId="4" borderId="4" xfId="0" applyFill="1" applyBorder="1" applyAlignment="1" applyProtection="1">
      <alignment wrapText="1"/>
      <protection hidden="1"/>
    </xf>
    <xf numFmtId="0" fontId="1" fillId="4" borderId="5" xfId="0" applyFont="1" applyFill="1" applyBorder="1" applyProtection="1">
      <protection hidden="1"/>
    </xf>
    <xf numFmtId="0" fontId="0" fillId="4" borderId="5" xfId="0" applyFill="1" applyBorder="1" applyAlignment="1" applyProtection="1">
      <alignment wrapText="1"/>
      <protection hidden="1"/>
    </xf>
    <xf numFmtId="0" fontId="1" fillId="6" borderId="1" xfId="0" applyFont="1" applyFill="1" applyBorder="1" applyProtection="1">
      <protection hidden="1"/>
    </xf>
    <xf numFmtId="0" fontId="0" fillId="0" borderId="3" xfId="0" applyBorder="1" applyProtection="1">
      <protection hidden="1"/>
    </xf>
    <xf numFmtId="0" fontId="3" fillId="0" borderId="2" xfId="1" applyFill="1" applyBorder="1" applyProtection="1">
      <protection hidden="1"/>
    </xf>
    <xf numFmtId="0" fontId="0" fillId="0" borderId="2" xfId="0" applyBorder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locked="0"/>
    </xf>
    <xf numFmtId="0" fontId="3" fillId="0" borderId="1" xfId="1" applyBorder="1" applyProtection="1">
      <protection locked="0"/>
    </xf>
    <xf numFmtId="0" fontId="1" fillId="6" borderId="1" xfId="0" applyFont="1" applyFill="1" applyBorder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hidden="1"/>
    </xf>
    <xf numFmtId="0" fontId="5" fillId="3" borderId="8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 wrapText="1"/>
      <protection locked="0"/>
    </xf>
    <xf numFmtId="43" fontId="0" fillId="0" borderId="0" xfId="2" applyFont="1" applyProtection="1">
      <protection locked="0"/>
    </xf>
    <xf numFmtId="2" fontId="0" fillId="0" borderId="0" xfId="0" applyNumberFormat="1" applyProtection="1">
      <protection locked="0"/>
    </xf>
    <xf numFmtId="0" fontId="1" fillId="0" borderId="0" xfId="0" applyFont="1" applyAlignment="1" applyProtection="1">
      <alignment vertical="center" wrapText="1"/>
      <protection hidden="1"/>
    </xf>
    <xf numFmtId="0" fontId="0" fillId="2" borderId="0" xfId="0" applyFill="1" applyAlignment="1" applyProtection="1">
      <alignment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1" fillId="6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1" fillId="7" borderId="1" xfId="0" applyFont="1" applyFill="1" applyBorder="1" applyAlignment="1" applyProtection="1">
      <alignment horizontal="center" vertical="center" wrapText="1"/>
      <protection hidden="1"/>
    </xf>
    <xf numFmtId="164" fontId="0" fillId="0" borderId="1" xfId="2" applyNumberFormat="1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3" borderId="8" xfId="0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5" borderId="6" xfId="0" applyFill="1" applyBorder="1" applyAlignment="1" applyProtection="1">
      <alignment horizontal="center" vertical="center" wrapText="1"/>
      <protection hidden="1"/>
    </xf>
    <xf numFmtId="0" fontId="0" fillId="5" borderId="7" xfId="0" applyFill="1" applyBorder="1" applyAlignment="1" applyProtection="1">
      <alignment horizontal="center" vertical="center" wrapText="1"/>
      <protection hidden="1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amiloalfonso@ucompensar.edu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amiloalfonso@ucompensar.edu.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amiloalfonso@ucompensar.edu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amiloalfonso@ucompensar.edu.c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camiloalfonso@ucompensar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921A-AD62-4614-8027-8657A414DC0F}">
  <dimension ref="B2:F7"/>
  <sheetViews>
    <sheetView showGridLines="0" showRowColHeaders="0" zoomScaleNormal="100" workbookViewId="0">
      <selection activeCell="E3" sqref="E3"/>
    </sheetView>
  </sheetViews>
  <sheetFormatPr baseColWidth="10" defaultColWidth="11.44140625" defaultRowHeight="14.4" x14ac:dyDescent="0.3"/>
  <cols>
    <col min="1" max="1" width="3.44140625" style="2" customWidth="1"/>
    <col min="2" max="2" width="20.5546875" style="2" customWidth="1"/>
    <col min="3" max="3" width="12.5546875" style="2" bestFit="1" customWidth="1"/>
    <col min="4" max="4" width="11.44140625" style="2"/>
    <col min="5" max="5" width="44.88671875" style="2" customWidth="1"/>
    <col min="6" max="6" width="44.5546875" style="2" customWidth="1"/>
    <col min="7" max="16384" width="11.44140625" style="2"/>
  </cols>
  <sheetData>
    <row r="2" spans="2:6" x14ac:dyDescent="0.3">
      <c r="B2" s="19" t="s">
        <v>53</v>
      </c>
      <c r="C2" s="19" t="s">
        <v>45</v>
      </c>
      <c r="D2" s="19" t="s">
        <v>44</v>
      </c>
      <c r="E2" s="19" t="s">
        <v>54</v>
      </c>
      <c r="F2" s="19" t="s">
        <v>46</v>
      </c>
    </row>
    <row r="3" spans="2:6" x14ac:dyDescent="0.3">
      <c r="B3" s="19" t="s">
        <v>48</v>
      </c>
      <c r="C3" s="33" t="s">
        <v>55</v>
      </c>
      <c r="D3" s="33"/>
      <c r="E3" s="17" t="s">
        <v>56</v>
      </c>
      <c r="F3" s="18" t="s">
        <v>57</v>
      </c>
    </row>
    <row r="4" spans="2:6" x14ac:dyDescent="0.3">
      <c r="B4" s="19" t="s">
        <v>49</v>
      </c>
      <c r="C4" s="33"/>
      <c r="D4" s="33"/>
      <c r="E4" s="17"/>
      <c r="F4" s="18"/>
    </row>
    <row r="5" spans="2:6" x14ac:dyDescent="0.3">
      <c r="B5" s="19" t="s">
        <v>50</v>
      </c>
      <c r="C5" s="33"/>
      <c r="D5" s="33"/>
      <c r="E5" s="17"/>
      <c r="F5" s="17"/>
    </row>
    <row r="6" spans="2:6" x14ac:dyDescent="0.3">
      <c r="B6" s="19" t="s">
        <v>51</v>
      </c>
      <c r="C6" s="33"/>
      <c r="D6" s="33"/>
      <c r="E6" s="17"/>
      <c r="F6" s="17"/>
    </row>
    <row r="7" spans="2:6" x14ac:dyDescent="0.3">
      <c r="B7" s="19" t="s">
        <v>52</v>
      </c>
      <c r="C7" s="33"/>
      <c r="D7" s="33"/>
      <c r="E7" s="17"/>
      <c r="F7" s="17"/>
    </row>
  </sheetData>
  <sheetProtection algorithmName="SHA-512" hashValue="PjGrTlDNJGlWWAuW2ZFBAS3fgPcoL1Z2Hb3d87aolJmimYHAG0QpGI6lRb6NemwjcpydjZqA9zMAJ7tIfoWJig==" saltValue="bOTFmQiHTpbG7J2wSqPUMA==" spinCount="100000" sheet="1" objects="1" scenarios="1"/>
  <mergeCells count="2">
    <mergeCell ref="C3:C7"/>
    <mergeCell ref="D3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7984-5105-4AB4-90CC-038E519A505A}">
  <dimension ref="B2:G35"/>
  <sheetViews>
    <sheetView showGridLines="0" showRowColHeaders="0" tabSelected="1" topLeftCell="A7" zoomScale="80" zoomScaleNormal="80" workbookViewId="0">
      <selection activeCell="D30" sqref="D30:D33"/>
    </sheetView>
  </sheetViews>
  <sheetFormatPr baseColWidth="10" defaultColWidth="11.44140625" defaultRowHeight="14.4" x14ac:dyDescent="0.3"/>
  <cols>
    <col min="1" max="1" width="11.44140625" style="1"/>
    <col min="2" max="2" width="30.88671875" style="1" customWidth="1"/>
    <col min="3" max="3" width="81.88671875" style="1" bestFit="1" customWidth="1"/>
    <col min="4" max="4" width="20.109375" style="1" bestFit="1" customWidth="1"/>
    <col min="5" max="5" width="20.5546875" style="1" bestFit="1" customWidth="1"/>
    <col min="6" max="7" width="20.109375" style="1" bestFit="1" customWidth="1"/>
    <col min="8" max="16384" width="11.44140625" style="1"/>
  </cols>
  <sheetData>
    <row r="2" spans="2:7" x14ac:dyDescent="0.3">
      <c r="B2" s="11" t="s">
        <v>18</v>
      </c>
      <c r="C2" s="12" t="str">
        <f>'Datos del grupo'!E3</f>
        <v>Miguel Angel Caballero Garcia</v>
      </c>
    </row>
    <row r="3" spans="2:7" x14ac:dyDescent="0.3">
      <c r="B3" s="11" t="s">
        <v>19</v>
      </c>
      <c r="C3" s="13" t="str">
        <f>'Datos del grupo'!F3</f>
        <v>mangelcaballero@ucompensar.edu.co</v>
      </c>
    </row>
    <row r="4" spans="2:7" x14ac:dyDescent="0.3">
      <c r="B4" s="11" t="s">
        <v>23</v>
      </c>
      <c r="C4" s="14">
        <f>'Datos del grupo'!D3</f>
        <v>0</v>
      </c>
    </row>
    <row r="5" spans="2:7" x14ac:dyDescent="0.3">
      <c r="B5" s="11" t="s">
        <v>21</v>
      </c>
      <c r="C5" s="14" t="str">
        <f>'Datos del grupo'!C3</f>
        <v>EXTRACCION TRANSFORMACION Y CARGA DE DATOS</v>
      </c>
    </row>
    <row r="7" spans="2:7" x14ac:dyDescent="0.3">
      <c r="D7" s="4">
        <f>D14+D19+D24+D29+D34</f>
        <v>5</v>
      </c>
      <c r="E7" s="4">
        <f>E14+E19+E24+E29+E34</f>
        <v>0</v>
      </c>
      <c r="F7" s="4">
        <f>F14+F19+F24+F29+F34</f>
        <v>0</v>
      </c>
      <c r="G7" s="4">
        <f>G14+G19+G24+G29+G34</f>
        <v>0</v>
      </c>
    </row>
    <row r="8" spans="2:7" x14ac:dyDescent="0.3">
      <c r="B8" s="35" t="s">
        <v>15</v>
      </c>
      <c r="C8" s="35"/>
      <c r="D8" s="15" t="s">
        <v>11</v>
      </c>
      <c r="E8" s="15" t="s">
        <v>12</v>
      </c>
      <c r="F8" s="15" t="s">
        <v>13</v>
      </c>
      <c r="G8" s="15" t="s">
        <v>14</v>
      </c>
    </row>
    <row r="9" spans="2:7" ht="30" customHeight="1" x14ac:dyDescent="0.3">
      <c r="B9" s="16" t="s">
        <v>0</v>
      </c>
      <c r="C9" s="16" t="s">
        <v>1</v>
      </c>
      <c r="D9" s="16">
        <f>'Datos del grupo'!E4</f>
        <v>0</v>
      </c>
      <c r="E9" s="16">
        <f>'Datos del grupo'!E5</f>
        <v>0</v>
      </c>
      <c r="F9" s="16">
        <f>'Datos del grupo'!E6</f>
        <v>0</v>
      </c>
      <c r="G9" s="16">
        <f>'Datos del grupo'!E7</f>
        <v>0</v>
      </c>
    </row>
    <row r="10" spans="2:7" x14ac:dyDescent="0.3">
      <c r="B10" s="40" t="s">
        <v>2</v>
      </c>
      <c r="C10" s="10" t="s">
        <v>24</v>
      </c>
      <c r="D10" s="37" t="s">
        <v>10</v>
      </c>
      <c r="E10" s="37"/>
      <c r="F10" s="37"/>
      <c r="G10" s="37"/>
    </row>
    <row r="11" spans="2:7" x14ac:dyDescent="0.3">
      <c r="B11" s="40"/>
      <c r="C11" s="7" t="s">
        <v>26</v>
      </c>
      <c r="D11" s="37"/>
      <c r="E11" s="37"/>
      <c r="F11" s="37"/>
      <c r="G11" s="37"/>
    </row>
    <row r="12" spans="2:7" ht="28.8" x14ac:dyDescent="0.3">
      <c r="B12" s="40"/>
      <c r="C12" s="7" t="s">
        <v>25</v>
      </c>
      <c r="D12" s="37"/>
      <c r="E12" s="37"/>
      <c r="F12" s="37"/>
      <c r="G12" s="37"/>
    </row>
    <row r="13" spans="2:7" ht="28.8" x14ac:dyDescent="0.3">
      <c r="B13" s="42"/>
      <c r="C13" s="7" t="s">
        <v>27</v>
      </c>
      <c r="D13" s="38"/>
      <c r="E13" s="38"/>
      <c r="F13" s="38"/>
      <c r="G13" s="38"/>
    </row>
    <row r="14" spans="2:7" ht="5.0999999999999996" customHeight="1" x14ac:dyDescent="0.3">
      <c r="B14" s="34"/>
      <c r="C14" s="34"/>
      <c r="D14" s="21" cm="1">
        <f t="array" ref="D14">_xlfn.IFS(D10="A",0.25,D10="B",0.5,D10="C",0.75,D10="D",1,D10="",0)</f>
        <v>1</v>
      </c>
      <c r="E14" s="21" cm="1">
        <f t="array" ref="E14">_xlfn.IFS(E10="A",0.25,E10="B",0.5,E10="C",0.75,E10="D",1,E10="",0)</f>
        <v>0</v>
      </c>
      <c r="F14" s="21" cm="1">
        <f t="array" ref="F14">_xlfn.IFS(F10="A",0.25,F10="B",0.5,F10="C",0.75,F10="D",1,F10="",0)</f>
        <v>0</v>
      </c>
      <c r="G14" s="21" cm="1">
        <f t="array" ref="G14">_xlfn.IFS(G10="A",0.25,G10="B",0.5,G10="C",0.75,G10="D",1,G10="",0)</f>
        <v>0</v>
      </c>
    </row>
    <row r="15" spans="2:7" x14ac:dyDescent="0.3">
      <c r="B15" s="43" t="s">
        <v>3</v>
      </c>
      <c r="C15" s="7" t="s">
        <v>28</v>
      </c>
      <c r="D15" s="39" t="s">
        <v>10</v>
      </c>
      <c r="E15" s="39"/>
      <c r="F15" s="39"/>
      <c r="G15" s="39"/>
    </row>
    <row r="16" spans="2:7" ht="28.8" x14ac:dyDescent="0.3">
      <c r="B16" s="41"/>
      <c r="C16" s="7" t="s">
        <v>29</v>
      </c>
      <c r="D16" s="37"/>
      <c r="E16" s="37"/>
      <c r="F16" s="37"/>
      <c r="G16" s="37"/>
    </row>
    <row r="17" spans="2:7" ht="28.8" x14ac:dyDescent="0.3">
      <c r="B17" s="41"/>
      <c r="C17" s="7" t="s">
        <v>30</v>
      </c>
      <c r="D17" s="37"/>
      <c r="E17" s="37"/>
      <c r="F17" s="37"/>
      <c r="G17" s="37"/>
    </row>
    <row r="18" spans="2:7" ht="28.8" x14ac:dyDescent="0.3">
      <c r="B18" s="41"/>
      <c r="C18" s="8" t="s">
        <v>31</v>
      </c>
      <c r="D18" s="37"/>
      <c r="E18" s="37"/>
      <c r="F18" s="37"/>
      <c r="G18" s="37"/>
    </row>
    <row r="19" spans="2:7" ht="5.0999999999999996" customHeight="1" x14ac:dyDescent="0.3">
      <c r="B19" s="36"/>
      <c r="C19" s="36"/>
      <c r="D19" s="20" cm="1">
        <f t="array" ref="D19">_xlfn.IFS(D15="A",0.25,D15="B",0.5,D15="C",0.75,D15="D",1,D15="",0)</f>
        <v>1</v>
      </c>
      <c r="E19" s="20" cm="1">
        <f t="array" ref="E19">_xlfn.IFS(E15="A",0.25,E15="B",0.5,E15="C",0.75,E15="D",1,E15="",0)</f>
        <v>0</v>
      </c>
      <c r="F19" s="20" cm="1">
        <f t="array" ref="F19">_xlfn.IFS(F15="A",0.25,F15="B",0.5,F15="C",0.75,F15="D",1,F15="",0)</f>
        <v>0</v>
      </c>
      <c r="G19" s="20" cm="1">
        <f t="array" ref="G19">_xlfn.IFS(G15="A",0.25,G15="B",0.5,G15="C",0.75,G15="D",1,G15="",0)</f>
        <v>0</v>
      </c>
    </row>
    <row r="20" spans="2:7" x14ac:dyDescent="0.3">
      <c r="B20" s="40" t="s">
        <v>4</v>
      </c>
      <c r="C20" s="9" t="s">
        <v>32</v>
      </c>
      <c r="D20" s="37" t="s">
        <v>10</v>
      </c>
      <c r="E20" s="37"/>
      <c r="F20" s="37"/>
      <c r="G20" s="37"/>
    </row>
    <row r="21" spans="2:7" ht="28.8" x14ac:dyDescent="0.3">
      <c r="B21" s="40"/>
      <c r="C21" s="7" t="s">
        <v>33</v>
      </c>
      <c r="D21" s="37"/>
      <c r="E21" s="37"/>
      <c r="F21" s="37"/>
      <c r="G21" s="37"/>
    </row>
    <row r="22" spans="2:7" ht="28.8" x14ac:dyDescent="0.3">
      <c r="B22" s="40"/>
      <c r="C22" s="7" t="s">
        <v>34</v>
      </c>
      <c r="D22" s="37"/>
      <c r="E22" s="37"/>
      <c r="F22" s="37"/>
      <c r="G22" s="37"/>
    </row>
    <row r="23" spans="2:7" ht="28.8" x14ac:dyDescent="0.3">
      <c r="B23" s="40"/>
      <c r="C23" s="8" t="s">
        <v>35</v>
      </c>
      <c r="D23" s="37"/>
      <c r="E23" s="37"/>
      <c r="F23" s="37"/>
      <c r="G23" s="37"/>
    </row>
    <row r="24" spans="2:7" ht="5.0999999999999996" customHeight="1" x14ac:dyDescent="0.3">
      <c r="B24" s="36"/>
      <c r="C24" s="36"/>
      <c r="D24" s="20" cm="1">
        <f t="array" ref="D24">_xlfn.IFS(D20="A",0.25,D20="B",0.5,D20="C",0.75,D20="D",1,D20="",0)</f>
        <v>1</v>
      </c>
      <c r="E24" s="20" cm="1">
        <f t="array" ref="E24">_xlfn.IFS(E20="A",0.25,E20="B",0.5,E20="C",0.75,E20="D",1,E20="",0)</f>
        <v>0</v>
      </c>
      <c r="F24" s="20" cm="1">
        <f t="array" ref="F24">_xlfn.IFS(F20="A",0.25,F20="B",0.5,F20="C",0.75,F20="D",1,F20="",0)</f>
        <v>0</v>
      </c>
      <c r="G24" s="20" cm="1">
        <f t="array" ref="G24">_xlfn.IFS(G20="A",0.25,G20="B",0.5,G20="C",0.75,G20="D",1,G20="",0)</f>
        <v>0</v>
      </c>
    </row>
    <row r="25" spans="2:7" x14ac:dyDescent="0.3">
      <c r="B25" s="40" t="s">
        <v>5</v>
      </c>
      <c r="C25" s="6" t="s">
        <v>36</v>
      </c>
      <c r="D25" s="37" t="s">
        <v>10</v>
      </c>
      <c r="E25" s="37"/>
      <c r="F25" s="37"/>
      <c r="G25" s="37"/>
    </row>
    <row r="26" spans="2:7" ht="28.8" x14ac:dyDescent="0.3">
      <c r="B26" s="41"/>
      <c r="C26" s="7" t="s">
        <v>37</v>
      </c>
      <c r="D26" s="37"/>
      <c r="E26" s="37"/>
      <c r="F26" s="37"/>
      <c r="G26" s="37"/>
    </row>
    <row r="27" spans="2:7" ht="28.8" x14ac:dyDescent="0.3">
      <c r="B27" s="41"/>
      <c r="C27" s="7" t="s">
        <v>38</v>
      </c>
      <c r="D27" s="37"/>
      <c r="E27" s="37"/>
      <c r="F27" s="37"/>
      <c r="G27" s="37"/>
    </row>
    <row r="28" spans="2:7" ht="28.8" x14ac:dyDescent="0.3">
      <c r="B28" s="41"/>
      <c r="C28" s="8" t="s">
        <v>39</v>
      </c>
      <c r="D28" s="37"/>
      <c r="E28" s="37"/>
      <c r="F28" s="37"/>
      <c r="G28" s="37"/>
    </row>
    <row r="29" spans="2:7" ht="5.0999999999999996" customHeight="1" x14ac:dyDescent="0.3">
      <c r="B29" s="36"/>
      <c r="C29" s="36"/>
      <c r="D29" s="20" cm="1">
        <f t="array" ref="D29">_xlfn.IFS(D25="A",0.25,D25="B",0.5,D25="C",0.75,D25="D",1,D25="",0)</f>
        <v>1</v>
      </c>
      <c r="E29" s="20" cm="1">
        <f t="array" ref="E29">_xlfn.IFS(E25="A",0.25,E25="B",0.5,E25="C",0.75,E25="D",1,E25="",0)</f>
        <v>0</v>
      </c>
      <c r="F29" s="20" cm="1">
        <f t="array" ref="F29">_xlfn.IFS(F25="A",0.25,F25="B",0.5,F25="C",0.75,F25="D",1,F25="",0)</f>
        <v>0</v>
      </c>
      <c r="G29" s="20" cm="1">
        <f t="array" ref="G29">_xlfn.IFS(G25="A",0.25,G25="B",0.5,G25="C",0.75,G25="D",1,G25="",0)</f>
        <v>0</v>
      </c>
    </row>
    <row r="30" spans="2:7" ht="15" customHeight="1" x14ac:dyDescent="0.3">
      <c r="B30" s="40" t="s">
        <v>6</v>
      </c>
      <c r="C30" s="6" t="s">
        <v>40</v>
      </c>
      <c r="D30" s="37" t="s">
        <v>10</v>
      </c>
      <c r="E30" s="37"/>
      <c r="F30" s="37"/>
      <c r="G30" s="37"/>
    </row>
    <row r="31" spans="2:7" ht="28.8" x14ac:dyDescent="0.3">
      <c r="B31" s="41"/>
      <c r="C31" s="7" t="s">
        <v>41</v>
      </c>
      <c r="D31" s="37"/>
      <c r="E31" s="37"/>
      <c r="F31" s="37"/>
      <c r="G31" s="37"/>
    </row>
    <row r="32" spans="2:7" ht="28.8" x14ac:dyDescent="0.3">
      <c r="B32" s="41"/>
      <c r="C32" s="7" t="s">
        <v>42</v>
      </c>
      <c r="D32" s="37"/>
      <c r="E32" s="37"/>
      <c r="F32" s="37"/>
      <c r="G32" s="37"/>
    </row>
    <row r="33" spans="2:7" x14ac:dyDescent="0.3">
      <c r="B33" s="41"/>
      <c r="C33" s="8" t="s">
        <v>43</v>
      </c>
      <c r="D33" s="37"/>
      <c r="E33" s="37"/>
      <c r="F33" s="37"/>
      <c r="G33" s="37"/>
    </row>
    <row r="34" spans="2:7" ht="5.0999999999999996" customHeight="1" x14ac:dyDescent="0.3">
      <c r="B34" s="34"/>
      <c r="C34" s="34"/>
      <c r="D34" s="21" cm="1">
        <f t="array" ref="D34">_xlfn.IFS(D30="A",0.25,D30="B",0.5,D30="C",0.75,D30="D",1,D30="",0)</f>
        <v>1</v>
      </c>
      <c r="E34" s="21" cm="1">
        <f t="array" ref="E34">_xlfn.IFS(E30="A",0.25,E30="B",0.5,E30="C",0.75,E30="D",1,E30="",0)</f>
        <v>0</v>
      </c>
      <c r="F34" s="21" cm="1">
        <f t="array" ref="F34">_xlfn.IFS(F30="A",0.25,F30="B",0.5,F30="C",0.75,F30="D",1,F30="",0)</f>
        <v>0</v>
      </c>
      <c r="G34" s="21" cm="1">
        <f t="array" ref="G34">_xlfn.IFS(G30="A",0.25,G30="B",0.5,G30="C",0.75,G30="D",1,G30="",0)</f>
        <v>0</v>
      </c>
    </row>
    <row r="35" spans="2:7" x14ac:dyDescent="0.3">
      <c r="B35" s="5"/>
    </row>
  </sheetData>
  <sheetProtection algorithmName="SHA-512" hashValue="meXZ5Zvahixy+YVKlsr/RaGAn0Sd/BYbcsBPmk4LNmtYJmyqOwJ7D/yZfAfUe7eIn7sGMebstn0xqHzJsWjMjQ==" saltValue="kD6yitctx64lW+BiD2C4ng==" spinCount="100000" sheet="1" objects="1" scenarios="1" selectLockedCells="1"/>
  <mergeCells count="31">
    <mergeCell ref="E30:E33"/>
    <mergeCell ref="F30:F33"/>
    <mergeCell ref="G30:G33"/>
    <mergeCell ref="B30:B33"/>
    <mergeCell ref="D10:D13"/>
    <mergeCell ref="D15:D18"/>
    <mergeCell ref="D20:D23"/>
    <mergeCell ref="D25:D28"/>
    <mergeCell ref="D30:D33"/>
    <mergeCell ref="B10:B13"/>
    <mergeCell ref="B15:B18"/>
    <mergeCell ref="B20:B23"/>
    <mergeCell ref="B25:B28"/>
    <mergeCell ref="E20:E23"/>
    <mergeCell ref="F20:F23"/>
    <mergeCell ref="G20:G23"/>
    <mergeCell ref="E25:E28"/>
    <mergeCell ref="F25:F28"/>
    <mergeCell ref="G25:G28"/>
    <mergeCell ref="E10:E13"/>
    <mergeCell ref="F10:F13"/>
    <mergeCell ref="G10:G13"/>
    <mergeCell ref="E15:E18"/>
    <mergeCell ref="F15:F18"/>
    <mergeCell ref="G15:G18"/>
    <mergeCell ref="B34:C34"/>
    <mergeCell ref="B8:C8"/>
    <mergeCell ref="B14:C14"/>
    <mergeCell ref="B19:C19"/>
    <mergeCell ref="B24:C24"/>
    <mergeCell ref="B29:C29"/>
  </mergeCells>
  <hyperlinks>
    <hyperlink ref="C3" r:id="rId1" display="camiloalfonso@ucompensar.edu.co" xr:uid="{217B4900-300B-4559-B702-4ABC48913354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Parametro no valido" promptTitle="Seleccione una opción" prompt="Elija entre las opciones" xr:uid="{CE1161F2-AA17-4F9C-B5B7-D733073608D3}">
          <x14:formula1>
            <xm:f>'Hoja docente'!$C$2:$C$5</xm:f>
          </x14:formula1>
          <xm:sqref>D10:G13 D25:G28 D15:G18 D20:G23 D30:G33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94B8-2926-4CA4-B00B-5EE195305E27}">
  <dimension ref="B2:G35"/>
  <sheetViews>
    <sheetView showGridLines="0" showRowColHeaders="0" zoomScale="70" zoomScaleNormal="70" workbookViewId="0">
      <selection activeCell="D25" sqref="D25:G28"/>
    </sheetView>
  </sheetViews>
  <sheetFormatPr baseColWidth="10" defaultColWidth="11.44140625" defaultRowHeight="14.4" x14ac:dyDescent="0.3"/>
  <cols>
    <col min="1" max="1" width="11.44140625" style="1"/>
    <col min="2" max="2" width="30.88671875" style="1" customWidth="1"/>
    <col min="3" max="3" width="68" style="1" bestFit="1" customWidth="1"/>
    <col min="4" max="4" width="20.109375" style="1" bestFit="1" customWidth="1"/>
    <col min="5" max="5" width="20.5546875" style="1" bestFit="1" customWidth="1"/>
    <col min="6" max="7" width="20.109375" style="1" bestFit="1" customWidth="1"/>
    <col min="8" max="16384" width="11.44140625" style="1"/>
  </cols>
  <sheetData>
    <row r="2" spans="2:7" x14ac:dyDescent="0.3">
      <c r="B2" s="11" t="s">
        <v>18</v>
      </c>
      <c r="C2" s="12">
        <f>'Datos del grupo'!E4</f>
        <v>0</v>
      </c>
    </row>
    <row r="3" spans="2:7" x14ac:dyDescent="0.3">
      <c r="B3" s="11" t="s">
        <v>19</v>
      </c>
      <c r="C3" s="13">
        <f>'Datos del grupo'!F4</f>
        <v>0</v>
      </c>
    </row>
    <row r="4" spans="2:7" x14ac:dyDescent="0.3">
      <c r="B4" s="11" t="s">
        <v>23</v>
      </c>
      <c r="C4" s="14">
        <f>'Datos del grupo'!D3</f>
        <v>0</v>
      </c>
    </row>
    <row r="5" spans="2:7" x14ac:dyDescent="0.3">
      <c r="B5" s="11" t="s">
        <v>21</v>
      </c>
      <c r="C5" s="14" t="str">
        <f>'Datos del grupo'!C3</f>
        <v>EXTRACCION TRANSFORMACION Y CARGA DE DATOS</v>
      </c>
    </row>
    <row r="7" spans="2:7" x14ac:dyDescent="0.3">
      <c r="D7" s="4">
        <f>D14+D19+D24+D29+D34</f>
        <v>1</v>
      </c>
      <c r="E7" s="4">
        <f>E14+E19+E24+E29+E34</f>
        <v>1</v>
      </c>
      <c r="F7" s="4">
        <f>F14+F19+F24+F29+F34</f>
        <v>1</v>
      </c>
      <c r="G7" s="4">
        <f>G14+G19+G24+G29+G34</f>
        <v>0.75</v>
      </c>
    </row>
    <row r="8" spans="2:7" x14ac:dyDescent="0.3">
      <c r="B8" s="35" t="s">
        <v>15</v>
      </c>
      <c r="C8" s="35"/>
      <c r="D8" s="15" t="s">
        <v>11</v>
      </c>
      <c r="E8" s="15" t="s">
        <v>12</v>
      </c>
      <c r="F8" s="15" t="s">
        <v>13</v>
      </c>
      <c r="G8" s="15" t="s">
        <v>14</v>
      </c>
    </row>
    <row r="9" spans="2:7" ht="30" customHeight="1" x14ac:dyDescent="0.3">
      <c r="B9" s="16" t="s">
        <v>0</v>
      </c>
      <c r="C9" s="16" t="s">
        <v>1</v>
      </c>
      <c r="D9" s="16" t="str">
        <f>'Datos del grupo'!$E$3</f>
        <v>Miguel Angel Caballero Garcia</v>
      </c>
      <c r="E9" s="16">
        <f>'Datos del grupo'!$E$5</f>
        <v>0</v>
      </c>
      <c r="F9" s="16">
        <f>'Datos del grupo'!$E$6</f>
        <v>0</v>
      </c>
      <c r="G9" s="16">
        <f>'Datos del grupo'!$E$7</f>
        <v>0</v>
      </c>
    </row>
    <row r="10" spans="2:7" ht="15" customHeight="1" x14ac:dyDescent="0.3">
      <c r="B10" s="40" t="s">
        <v>2</v>
      </c>
      <c r="C10" s="10" t="s">
        <v>24</v>
      </c>
      <c r="D10" s="37"/>
      <c r="E10" s="37"/>
      <c r="F10" s="37"/>
      <c r="G10" s="37"/>
    </row>
    <row r="11" spans="2:7" ht="28.8" x14ac:dyDescent="0.3">
      <c r="B11" s="40"/>
      <c r="C11" s="7" t="s">
        <v>26</v>
      </c>
      <c r="D11" s="37"/>
      <c r="E11" s="37"/>
      <c r="F11" s="37"/>
      <c r="G11" s="37"/>
    </row>
    <row r="12" spans="2:7" ht="28.8" x14ac:dyDescent="0.3">
      <c r="B12" s="40"/>
      <c r="C12" s="7" t="s">
        <v>25</v>
      </c>
      <c r="D12" s="37"/>
      <c r="E12" s="37"/>
      <c r="F12" s="37"/>
      <c r="G12" s="37"/>
    </row>
    <row r="13" spans="2:7" ht="43.2" x14ac:dyDescent="0.3">
      <c r="B13" s="42"/>
      <c r="C13" s="7" t="s">
        <v>27</v>
      </c>
      <c r="D13" s="38"/>
      <c r="E13" s="38"/>
      <c r="F13" s="38"/>
      <c r="G13" s="38"/>
    </row>
    <row r="14" spans="2:7" ht="5.0999999999999996" customHeight="1" x14ac:dyDescent="0.3">
      <c r="B14" s="34"/>
      <c r="C14" s="34"/>
      <c r="D14" s="21" cm="1">
        <f t="array" ref="D14">_xlfn.IFS(D10="A",0.25,D10="B",0.5,D10="C",0.75,D10="D",1,D10="",0)</f>
        <v>0</v>
      </c>
      <c r="E14" s="21" cm="1">
        <f t="array" ref="E14">_xlfn.IFS(E10="A",0.25,E10="B",0.5,E10="C",0.75,E10="D",1,E10="",0)</f>
        <v>0</v>
      </c>
      <c r="F14" s="21" cm="1">
        <f t="array" ref="F14">_xlfn.IFS(F10="A",0.25,F10="B",0.5,F10="C",0.75,F10="D",1,F10="",0)</f>
        <v>0</v>
      </c>
      <c r="G14" s="21" cm="1">
        <f t="array" ref="G14">_xlfn.IFS(G10="A",0.25,G10="B",0.5,G10="C",0.75,G10="D",1,G10="",0)</f>
        <v>0</v>
      </c>
    </row>
    <row r="15" spans="2:7" ht="15" customHeight="1" x14ac:dyDescent="0.3">
      <c r="B15" s="43" t="s">
        <v>3</v>
      </c>
      <c r="C15" s="7" t="s">
        <v>28</v>
      </c>
      <c r="D15" s="39"/>
      <c r="E15" s="39"/>
      <c r="F15" s="39"/>
      <c r="G15" s="39"/>
    </row>
    <row r="16" spans="2:7" ht="28.8" x14ac:dyDescent="0.3">
      <c r="B16" s="41"/>
      <c r="C16" s="7" t="s">
        <v>29</v>
      </c>
      <c r="D16" s="37"/>
      <c r="E16" s="37"/>
      <c r="F16" s="37"/>
      <c r="G16" s="37"/>
    </row>
    <row r="17" spans="2:7" ht="28.8" x14ac:dyDescent="0.3">
      <c r="B17" s="41"/>
      <c r="C17" s="7" t="s">
        <v>30</v>
      </c>
      <c r="D17" s="37"/>
      <c r="E17" s="37"/>
      <c r="F17" s="37"/>
      <c r="G17" s="37"/>
    </row>
    <row r="18" spans="2:7" ht="43.2" x14ac:dyDescent="0.3">
      <c r="B18" s="41"/>
      <c r="C18" s="8" t="s">
        <v>31</v>
      </c>
      <c r="D18" s="37"/>
      <c r="E18" s="37"/>
      <c r="F18" s="37"/>
      <c r="G18" s="37"/>
    </row>
    <row r="19" spans="2:7" ht="5.0999999999999996" customHeight="1" x14ac:dyDescent="0.3">
      <c r="B19" s="36"/>
      <c r="C19" s="36"/>
      <c r="D19" s="20" cm="1">
        <f t="array" ref="D19">_xlfn.IFS(D15="A",0.25,D15="B",0.5,D15="C",0.75,D15="D",1,D15="",0)</f>
        <v>0</v>
      </c>
      <c r="E19" s="20" cm="1">
        <f t="array" ref="E19">_xlfn.IFS(E15="A",0.25,E15="B",0.5,E15="C",0.75,E15="D",1,E15="",0)</f>
        <v>0</v>
      </c>
      <c r="F19" s="20" cm="1">
        <f t="array" ref="F19">_xlfn.IFS(F15="A",0.25,F15="B",0.5,F15="C",0.75,F15="D",1,F15="",0)</f>
        <v>0</v>
      </c>
      <c r="G19" s="20" cm="1">
        <f t="array" ref="G19">_xlfn.IFS(G15="A",0.25,G15="B",0.5,G15="C",0.75,G15="D",1,G15="",0)</f>
        <v>0</v>
      </c>
    </row>
    <row r="20" spans="2:7" ht="15" customHeight="1" x14ac:dyDescent="0.3">
      <c r="B20" s="40" t="s">
        <v>4</v>
      </c>
      <c r="C20" s="9" t="s">
        <v>32</v>
      </c>
      <c r="D20" s="37"/>
      <c r="E20" s="37"/>
      <c r="F20" s="37"/>
      <c r="G20" s="37"/>
    </row>
    <row r="21" spans="2:7" ht="28.8" x14ac:dyDescent="0.3">
      <c r="B21" s="40"/>
      <c r="C21" s="7" t="s">
        <v>33</v>
      </c>
      <c r="D21" s="37"/>
      <c r="E21" s="37"/>
      <c r="F21" s="37"/>
      <c r="G21" s="37"/>
    </row>
    <row r="22" spans="2:7" ht="28.8" x14ac:dyDescent="0.3">
      <c r="B22" s="40"/>
      <c r="C22" s="7" t="s">
        <v>34</v>
      </c>
      <c r="D22" s="37"/>
      <c r="E22" s="37"/>
      <c r="F22" s="37"/>
      <c r="G22" s="37"/>
    </row>
    <row r="23" spans="2:7" ht="28.8" x14ac:dyDescent="0.3">
      <c r="B23" s="40"/>
      <c r="C23" s="8" t="s">
        <v>35</v>
      </c>
      <c r="D23" s="37"/>
      <c r="E23" s="37"/>
      <c r="F23" s="37"/>
      <c r="G23" s="37"/>
    </row>
    <row r="24" spans="2:7" ht="5.0999999999999996" customHeight="1" x14ac:dyDescent="0.3">
      <c r="B24" s="36"/>
      <c r="C24" s="36"/>
      <c r="D24" s="20" cm="1">
        <f t="array" ref="D24">_xlfn.IFS(D20="A",0.25,D20="B",0.5,D20="C",0.75,D20="D",1,D20="",0)</f>
        <v>0</v>
      </c>
      <c r="E24" s="20" cm="1">
        <f t="array" ref="E24">_xlfn.IFS(E20="A",0.25,E20="B",0.5,E20="C",0.75,E20="D",1,E20="",0)</f>
        <v>0</v>
      </c>
      <c r="F24" s="20" cm="1">
        <f t="array" ref="F24">_xlfn.IFS(F20="A",0.25,F20="B",0.5,F20="C",0.75,F20="D",1,F20="",0)</f>
        <v>0</v>
      </c>
      <c r="G24" s="20" cm="1">
        <f t="array" ref="G24">_xlfn.IFS(G20="A",0.25,G20="B",0.5,G20="C",0.75,G20="D",1,G20="",0)</f>
        <v>0</v>
      </c>
    </row>
    <row r="25" spans="2:7" ht="15" customHeight="1" x14ac:dyDescent="0.3">
      <c r="B25" s="40" t="s">
        <v>5</v>
      </c>
      <c r="C25" s="6" t="s">
        <v>36</v>
      </c>
      <c r="D25" s="37"/>
      <c r="E25" s="37"/>
      <c r="F25" s="37"/>
      <c r="G25" s="37"/>
    </row>
    <row r="26" spans="2:7" ht="28.8" x14ac:dyDescent="0.3">
      <c r="B26" s="41"/>
      <c r="C26" s="7" t="s">
        <v>37</v>
      </c>
      <c r="D26" s="37"/>
      <c r="E26" s="37"/>
      <c r="F26" s="37"/>
      <c r="G26" s="37"/>
    </row>
    <row r="27" spans="2:7" ht="28.8" x14ac:dyDescent="0.3">
      <c r="B27" s="41"/>
      <c r="C27" s="7" t="s">
        <v>38</v>
      </c>
      <c r="D27" s="37"/>
      <c r="E27" s="37"/>
      <c r="F27" s="37"/>
      <c r="G27" s="37"/>
    </row>
    <row r="28" spans="2:7" ht="28.8" x14ac:dyDescent="0.3">
      <c r="B28" s="41"/>
      <c r="C28" s="8" t="s">
        <v>39</v>
      </c>
      <c r="D28" s="37"/>
      <c r="E28" s="37"/>
      <c r="F28" s="37"/>
      <c r="G28" s="37"/>
    </row>
    <row r="29" spans="2:7" ht="5.0999999999999996" customHeight="1" x14ac:dyDescent="0.3">
      <c r="B29" s="36"/>
      <c r="C29" s="36"/>
      <c r="D29" s="20" cm="1">
        <f t="array" ref="D29">_xlfn.IFS(D25="A",0.25,D25="B",0.5,D25="C",0.75,D25="D",1,D25="",0)</f>
        <v>0</v>
      </c>
      <c r="E29" s="20" cm="1">
        <f t="array" ref="E29">_xlfn.IFS(E25="A",0.25,E25="B",0.5,E25="C",0.75,E25="D",1,E25="",0)</f>
        <v>0</v>
      </c>
      <c r="F29" s="20" cm="1">
        <f t="array" ref="F29">_xlfn.IFS(F25="A",0.25,F25="B",0.5,F25="C",0.75,F25="D",1,F25="",0)</f>
        <v>0</v>
      </c>
      <c r="G29" s="20" cm="1">
        <f t="array" ref="G29">_xlfn.IFS(G25="A",0.25,G25="B",0.5,G25="C",0.75,G25="D",1,G25="",0)</f>
        <v>0</v>
      </c>
    </row>
    <row r="30" spans="2:7" ht="15" customHeight="1" x14ac:dyDescent="0.3">
      <c r="B30" s="40" t="s">
        <v>6</v>
      </c>
      <c r="C30" s="6" t="s">
        <v>40</v>
      </c>
      <c r="D30" s="37" t="s">
        <v>10</v>
      </c>
      <c r="E30" s="37" t="s">
        <v>10</v>
      </c>
      <c r="F30" s="37" t="s">
        <v>10</v>
      </c>
      <c r="G30" s="37" t="s">
        <v>9</v>
      </c>
    </row>
    <row r="31" spans="2:7" ht="28.8" x14ac:dyDescent="0.3">
      <c r="B31" s="41"/>
      <c r="C31" s="7" t="s">
        <v>41</v>
      </c>
      <c r="D31" s="37"/>
      <c r="E31" s="37"/>
      <c r="F31" s="37"/>
      <c r="G31" s="37"/>
    </row>
    <row r="32" spans="2:7" ht="28.8" x14ac:dyDescent="0.3">
      <c r="B32" s="41"/>
      <c r="C32" s="7" t="s">
        <v>42</v>
      </c>
      <c r="D32" s="37"/>
      <c r="E32" s="37"/>
      <c r="F32" s="37"/>
      <c r="G32" s="37"/>
    </row>
    <row r="33" spans="2:7" ht="28.8" x14ac:dyDescent="0.3">
      <c r="B33" s="41"/>
      <c r="C33" s="8" t="s">
        <v>43</v>
      </c>
      <c r="D33" s="37"/>
      <c r="E33" s="37"/>
      <c r="F33" s="37"/>
      <c r="G33" s="37"/>
    </row>
    <row r="34" spans="2:7" ht="5.0999999999999996" customHeight="1" x14ac:dyDescent="0.3">
      <c r="B34" s="34"/>
      <c r="C34" s="34"/>
      <c r="D34" s="21" cm="1">
        <f t="array" ref="D34">_xlfn.IFS(D30="A",0.25,D30="B",0.5,D30="C",0.75,D30="D",1,D30="",0)</f>
        <v>1</v>
      </c>
      <c r="E34" s="21" cm="1">
        <f t="array" ref="E34">_xlfn.IFS(E30="A",0.25,E30="B",0.5,E30="C",0.75,E30="D",1,E30="",0)</f>
        <v>1</v>
      </c>
      <c r="F34" s="21" cm="1">
        <f t="array" ref="F34">_xlfn.IFS(F30="A",0.25,F30="B",0.5,F30="C",0.75,F30="D",1,F30="",0)</f>
        <v>1</v>
      </c>
      <c r="G34" s="21" cm="1">
        <f t="array" ref="G34">_xlfn.IFS(G30="A",0.25,G30="B",0.5,G30="C",0.75,G30="D",1,G30="",0)</f>
        <v>0.75</v>
      </c>
    </row>
    <row r="35" spans="2:7" x14ac:dyDescent="0.3">
      <c r="B35" s="5"/>
    </row>
  </sheetData>
  <sheetProtection algorithmName="SHA-512" hashValue="sb2lAHMp9hQAkQ5RWn+8chqdGyTWs3JYwMyMAxIUmwIgJJP9rvcDTzGEAInh0rUXOrXNKLoVdItWVLP6Hyxd/g==" saltValue="xM3bUE/gyNWb7thAKym9GA==" spinCount="100000" sheet="1" objects="1" scenarios="1" selectLockedCells="1"/>
  <mergeCells count="31">
    <mergeCell ref="B34:C34"/>
    <mergeCell ref="B29:C29"/>
    <mergeCell ref="B30:B33"/>
    <mergeCell ref="D30:D33"/>
    <mergeCell ref="E30:E33"/>
    <mergeCell ref="F30:F33"/>
    <mergeCell ref="G30:G33"/>
    <mergeCell ref="B24:C24"/>
    <mergeCell ref="B25:B28"/>
    <mergeCell ref="D25:D28"/>
    <mergeCell ref="E25:E28"/>
    <mergeCell ref="F25:F28"/>
    <mergeCell ref="G25:G28"/>
    <mergeCell ref="G20:G23"/>
    <mergeCell ref="B14:C14"/>
    <mergeCell ref="B15:B18"/>
    <mergeCell ref="D15:D18"/>
    <mergeCell ref="E15:E18"/>
    <mergeCell ref="F15:F18"/>
    <mergeCell ref="G15:G18"/>
    <mergeCell ref="B19:C19"/>
    <mergeCell ref="B20:B23"/>
    <mergeCell ref="D20:D23"/>
    <mergeCell ref="E20:E23"/>
    <mergeCell ref="F20:F23"/>
    <mergeCell ref="G10:G13"/>
    <mergeCell ref="B8:C8"/>
    <mergeCell ref="B10:B13"/>
    <mergeCell ref="D10:D13"/>
    <mergeCell ref="E10:E13"/>
    <mergeCell ref="F10:F13"/>
  </mergeCells>
  <hyperlinks>
    <hyperlink ref="C3" r:id="rId1" display="camiloalfonso@ucompensar.edu.co" xr:uid="{8807A9D5-A88C-41E4-B496-AE7824F280E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Parametro no valido" promptTitle="Seleccione una opción" prompt="Elija entre las opciones" xr:uid="{01F655B1-113C-429D-9817-8CB5356E3101}">
          <x14:formula1>
            <xm:f>'Hoja docente'!$C$2:$C$5</xm:f>
          </x14:formula1>
          <xm:sqref>D10:G13 D25:G28 D15:G18 D20:G23 D30:G33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FCF8-C98D-43AD-88C9-CDEAF05DCECE}">
  <dimension ref="B2:G35"/>
  <sheetViews>
    <sheetView showGridLines="0" showRowColHeaders="0" topLeftCell="A14" zoomScale="70" zoomScaleNormal="70" workbookViewId="0">
      <selection activeCell="D30" sqref="D30:G33"/>
    </sheetView>
  </sheetViews>
  <sheetFormatPr baseColWidth="10" defaultColWidth="11.44140625" defaultRowHeight="14.4" x14ac:dyDescent="0.3"/>
  <cols>
    <col min="1" max="1" width="11.44140625" style="1"/>
    <col min="2" max="2" width="30.88671875" style="1" customWidth="1"/>
    <col min="3" max="3" width="68" style="1" bestFit="1" customWidth="1"/>
    <col min="4" max="4" width="20.109375" style="1" bestFit="1" customWidth="1"/>
    <col min="5" max="5" width="20.5546875" style="1" bestFit="1" customWidth="1"/>
    <col min="6" max="7" width="20.109375" style="1" bestFit="1" customWidth="1"/>
    <col min="8" max="16384" width="11.44140625" style="1"/>
  </cols>
  <sheetData>
    <row r="2" spans="2:7" x14ac:dyDescent="0.3">
      <c r="B2" s="11" t="s">
        <v>18</v>
      </c>
      <c r="C2" s="12">
        <f>'Datos del grupo'!E5</f>
        <v>0</v>
      </c>
    </row>
    <row r="3" spans="2:7" x14ac:dyDescent="0.3">
      <c r="B3" s="11" t="s">
        <v>19</v>
      </c>
      <c r="C3" s="13">
        <f>'Datos del grupo'!F5</f>
        <v>0</v>
      </c>
    </row>
    <row r="4" spans="2:7" x14ac:dyDescent="0.3">
      <c r="B4" s="11" t="s">
        <v>23</v>
      </c>
      <c r="C4" s="14">
        <f>'Datos del grupo'!D3</f>
        <v>0</v>
      </c>
    </row>
    <row r="5" spans="2:7" x14ac:dyDescent="0.3">
      <c r="B5" s="11" t="s">
        <v>21</v>
      </c>
      <c r="C5" s="14" t="str">
        <f>'Datos del grupo'!C3</f>
        <v>EXTRACCION TRANSFORMACION Y CARGA DE DATOS</v>
      </c>
    </row>
    <row r="7" spans="2:7" x14ac:dyDescent="0.3">
      <c r="D7" s="4">
        <f>D14+D19+D24+D29+D34</f>
        <v>0</v>
      </c>
      <c r="E7" s="4">
        <f>E14+E19+E24+E29+E34</f>
        <v>0</v>
      </c>
      <c r="F7" s="4">
        <f>F14+F19+F24+F29+F34</f>
        <v>0</v>
      </c>
      <c r="G7" s="4">
        <f>G14+G19+G24+G29+G34</f>
        <v>0</v>
      </c>
    </row>
    <row r="8" spans="2:7" x14ac:dyDescent="0.3">
      <c r="B8" s="35" t="s">
        <v>15</v>
      </c>
      <c r="C8" s="35"/>
      <c r="D8" s="15" t="s">
        <v>11</v>
      </c>
      <c r="E8" s="15" t="s">
        <v>12</v>
      </c>
      <c r="F8" s="15" t="s">
        <v>13</v>
      </c>
      <c r="G8" s="15" t="s">
        <v>14</v>
      </c>
    </row>
    <row r="9" spans="2:7" ht="30" customHeight="1" x14ac:dyDescent="0.3">
      <c r="B9" s="16" t="s">
        <v>0</v>
      </c>
      <c r="C9" s="16" t="s">
        <v>1</v>
      </c>
      <c r="D9" s="16" t="str">
        <f>'Datos del grupo'!$E3</f>
        <v>Miguel Angel Caballero Garcia</v>
      </c>
      <c r="E9" s="16">
        <f>'Datos del grupo'!$E$4</f>
        <v>0</v>
      </c>
      <c r="F9" s="16">
        <f>'Datos del grupo'!$E$6</f>
        <v>0</v>
      </c>
      <c r="G9" s="16">
        <f>'Datos del grupo'!$E$7</f>
        <v>0</v>
      </c>
    </row>
    <row r="10" spans="2:7" ht="15" customHeight="1" x14ac:dyDescent="0.3">
      <c r="B10" s="40" t="s">
        <v>2</v>
      </c>
      <c r="C10" s="10" t="s">
        <v>24</v>
      </c>
      <c r="D10" s="37"/>
      <c r="E10" s="37"/>
      <c r="F10" s="37"/>
      <c r="G10" s="37"/>
    </row>
    <row r="11" spans="2:7" ht="28.8" x14ac:dyDescent="0.3">
      <c r="B11" s="40"/>
      <c r="C11" s="7" t="s">
        <v>26</v>
      </c>
      <c r="D11" s="37"/>
      <c r="E11" s="37"/>
      <c r="F11" s="37"/>
      <c r="G11" s="37"/>
    </row>
    <row r="12" spans="2:7" ht="28.8" x14ac:dyDescent="0.3">
      <c r="B12" s="40"/>
      <c r="C12" s="7" t="s">
        <v>25</v>
      </c>
      <c r="D12" s="37"/>
      <c r="E12" s="37"/>
      <c r="F12" s="37"/>
      <c r="G12" s="37"/>
    </row>
    <row r="13" spans="2:7" ht="43.2" x14ac:dyDescent="0.3">
      <c r="B13" s="42"/>
      <c r="C13" s="7" t="s">
        <v>27</v>
      </c>
      <c r="D13" s="38"/>
      <c r="E13" s="38"/>
      <c r="F13" s="38"/>
      <c r="G13" s="38"/>
    </row>
    <row r="14" spans="2:7" ht="5.0999999999999996" customHeight="1" x14ac:dyDescent="0.3">
      <c r="B14" s="34"/>
      <c r="C14" s="34"/>
      <c r="D14" s="21" cm="1">
        <f t="array" ref="D14">_xlfn.IFS(D10="A",0.25,D10="B",0.5,D10="C",0.75,D10="D",1,D10="",0)</f>
        <v>0</v>
      </c>
      <c r="E14" s="21" cm="1">
        <f t="array" ref="E14">_xlfn.IFS(E10="A",0.25,E10="B",0.5,E10="C",0.75,E10="D",1,E10="",0)</f>
        <v>0</v>
      </c>
      <c r="F14" s="21" cm="1">
        <f t="array" ref="F14">_xlfn.IFS(F10="A",0.25,F10="B",0.5,F10="C",0.75,F10="D",1,F10="",0)</f>
        <v>0</v>
      </c>
      <c r="G14" s="21" cm="1">
        <f t="array" ref="G14">_xlfn.IFS(G10="A",0.25,G10="B",0.5,G10="C",0.75,G10="D",1,G10="",0)</f>
        <v>0</v>
      </c>
    </row>
    <row r="15" spans="2:7" ht="15" customHeight="1" x14ac:dyDescent="0.3">
      <c r="B15" s="43" t="s">
        <v>3</v>
      </c>
      <c r="C15" s="7" t="s">
        <v>28</v>
      </c>
      <c r="D15" s="39"/>
      <c r="E15" s="39"/>
      <c r="F15" s="39"/>
      <c r="G15" s="39"/>
    </row>
    <row r="16" spans="2:7" ht="28.8" x14ac:dyDescent="0.3">
      <c r="B16" s="41"/>
      <c r="C16" s="7" t="s">
        <v>29</v>
      </c>
      <c r="D16" s="37"/>
      <c r="E16" s="37"/>
      <c r="F16" s="37"/>
      <c r="G16" s="37"/>
    </row>
    <row r="17" spans="2:7" ht="28.8" x14ac:dyDescent="0.3">
      <c r="B17" s="41"/>
      <c r="C17" s="7" t="s">
        <v>30</v>
      </c>
      <c r="D17" s="37"/>
      <c r="E17" s="37"/>
      <c r="F17" s="37"/>
      <c r="G17" s="37"/>
    </row>
    <row r="18" spans="2:7" ht="43.2" x14ac:dyDescent="0.3">
      <c r="B18" s="41"/>
      <c r="C18" s="8" t="s">
        <v>31</v>
      </c>
      <c r="D18" s="37"/>
      <c r="E18" s="37"/>
      <c r="F18" s="37"/>
      <c r="G18" s="37"/>
    </row>
    <row r="19" spans="2:7" ht="5.0999999999999996" customHeight="1" x14ac:dyDescent="0.3">
      <c r="B19" s="36"/>
      <c r="C19" s="36"/>
      <c r="D19" s="20" cm="1">
        <f t="array" ref="D19">_xlfn.IFS(D15="A",0.25,D15="B",0.5,D15="C",0.75,D15="D",1,D15="",0)</f>
        <v>0</v>
      </c>
      <c r="E19" s="20" cm="1">
        <f t="array" ref="E19">_xlfn.IFS(E15="A",0.25,E15="B",0.5,E15="C",0.75,E15="D",1,E15="",0)</f>
        <v>0</v>
      </c>
      <c r="F19" s="20" cm="1">
        <f t="array" ref="F19">_xlfn.IFS(F15="A",0.25,F15="B",0.5,F15="C",0.75,F15="D",1,F15="",0)</f>
        <v>0</v>
      </c>
      <c r="G19" s="20" cm="1">
        <f t="array" ref="G19">_xlfn.IFS(G15="A",0.25,G15="B",0.5,G15="C",0.75,G15="D",1,G15="",0)</f>
        <v>0</v>
      </c>
    </row>
    <row r="20" spans="2:7" ht="15" customHeight="1" x14ac:dyDescent="0.3">
      <c r="B20" s="40" t="s">
        <v>4</v>
      </c>
      <c r="C20" s="9" t="s">
        <v>32</v>
      </c>
      <c r="D20" s="37"/>
      <c r="E20" s="37"/>
      <c r="F20" s="37"/>
      <c r="G20" s="37"/>
    </row>
    <row r="21" spans="2:7" ht="28.8" x14ac:dyDescent="0.3">
      <c r="B21" s="40"/>
      <c r="C21" s="7" t="s">
        <v>33</v>
      </c>
      <c r="D21" s="37"/>
      <c r="E21" s="37"/>
      <c r="F21" s="37"/>
      <c r="G21" s="37"/>
    </row>
    <row r="22" spans="2:7" ht="28.8" x14ac:dyDescent="0.3">
      <c r="B22" s="40"/>
      <c r="C22" s="7" t="s">
        <v>34</v>
      </c>
      <c r="D22" s="37"/>
      <c r="E22" s="37"/>
      <c r="F22" s="37"/>
      <c r="G22" s="37"/>
    </row>
    <row r="23" spans="2:7" ht="28.8" x14ac:dyDescent="0.3">
      <c r="B23" s="40"/>
      <c r="C23" s="8" t="s">
        <v>35</v>
      </c>
      <c r="D23" s="37"/>
      <c r="E23" s="37"/>
      <c r="F23" s="37"/>
      <c r="G23" s="37"/>
    </row>
    <row r="24" spans="2:7" ht="5.0999999999999996" customHeight="1" x14ac:dyDescent="0.3">
      <c r="B24" s="36"/>
      <c r="C24" s="36"/>
      <c r="D24" s="20" cm="1">
        <f t="array" ref="D24">_xlfn.IFS(D20="A",0.25,D20="B",0.5,D20="C",0.75,D20="D",1,D20="",0)</f>
        <v>0</v>
      </c>
      <c r="E24" s="20" cm="1">
        <f t="array" ref="E24">_xlfn.IFS(E20="A",0.25,E20="B",0.5,E20="C",0.75,E20="D",1,E20="",0)</f>
        <v>0</v>
      </c>
      <c r="F24" s="20" cm="1">
        <f t="array" ref="F24">_xlfn.IFS(F20="A",0.25,F20="B",0.5,F20="C",0.75,F20="D",1,F20="",0)</f>
        <v>0</v>
      </c>
      <c r="G24" s="20" cm="1">
        <f t="array" ref="G24">_xlfn.IFS(G20="A",0.25,G20="B",0.5,G20="C",0.75,G20="D",1,G20="",0)</f>
        <v>0</v>
      </c>
    </row>
    <row r="25" spans="2:7" ht="15" customHeight="1" x14ac:dyDescent="0.3">
      <c r="B25" s="40" t="s">
        <v>5</v>
      </c>
      <c r="C25" s="6" t="s">
        <v>36</v>
      </c>
      <c r="D25" s="37"/>
      <c r="E25" s="37"/>
      <c r="F25" s="37"/>
      <c r="G25" s="37"/>
    </row>
    <row r="26" spans="2:7" ht="28.8" x14ac:dyDescent="0.3">
      <c r="B26" s="41"/>
      <c r="C26" s="7" t="s">
        <v>37</v>
      </c>
      <c r="D26" s="37"/>
      <c r="E26" s="37"/>
      <c r="F26" s="37"/>
      <c r="G26" s="37"/>
    </row>
    <row r="27" spans="2:7" ht="28.8" x14ac:dyDescent="0.3">
      <c r="B27" s="41"/>
      <c r="C27" s="7" t="s">
        <v>38</v>
      </c>
      <c r="D27" s="37"/>
      <c r="E27" s="37"/>
      <c r="F27" s="37"/>
      <c r="G27" s="37"/>
    </row>
    <row r="28" spans="2:7" ht="28.8" x14ac:dyDescent="0.3">
      <c r="B28" s="41"/>
      <c r="C28" s="8" t="s">
        <v>39</v>
      </c>
      <c r="D28" s="37"/>
      <c r="E28" s="37"/>
      <c r="F28" s="37"/>
      <c r="G28" s="37"/>
    </row>
    <row r="29" spans="2:7" ht="5.0999999999999996" customHeight="1" x14ac:dyDescent="0.3">
      <c r="B29" s="36"/>
      <c r="C29" s="36"/>
      <c r="D29" s="20" cm="1">
        <f t="array" ref="D29">_xlfn.IFS(D25="A",0.25,D25="B",0.5,D25="C",0.75,D25="D",1,D25="",0)</f>
        <v>0</v>
      </c>
      <c r="E29" s="20" cm="1">
        <f t="array" ref="E29">_xlfn.IFS(E25="A",0.25,E25="B",0.5,E25="C",0.75,E25="D",1,E25="",0)</f>
        <v>0</v>
      </c>
      <c r="F29" s="20" cm="1">
        <f t="array" ref="F29">_xlfn.IFS(F25="A",0.25,F25="B",0.5,F25="C",0.75,F25="D",1,F25="",0)</f>
        <v>0</v>
      </c>
      <c r="G29" s="20" cm="1">
        <f t="array" ref="G29">_xlfn.IFS(G25="A",0.25,G25="B",0.5,G25="C",0.75,G25="D",1,G25="",0)</f>
        <v>0</v>
      </c>
    </row>
    <row r="30" spans="2:7" ht="15" customHeight="1" x14ac:dyDescent="0.3">
      <c r="B30" s="40" t="s">
        <v>6</v>
      </c>
      <c r="C30" s="6" t="s">
        <v>40</v>
      </c>
      <c r="D30" s="37"/>
      <c r="E30" s="37"/>
      <c r="F30" s="37"/>
      <c r="G30" s="37"/>
    </row>
    <row r="31" spans="2:7" ht="28.8" x14ac:dyDescent="0.3">
      <c r="B31" s="41"/>
      <c r="C31" s="7" t="s">
        <v>41</v>
      </c>
      <c r="D31" s="37"/>
      <c r="E31" s="37"/>
      <c r="F31" s="37"/>
      <c r="G31" s="37"/>
    </row>
    <row r="32" spans="2:7" ht="28.8" x14ac:dyDescent="0.3">
      <c r="B32" s="41"/>
      <c r="C32" s="7" t="s">
        <v>42</v>
      </c>
      <c r="D32" s="37"/>
      <c r="E32" s="37"/>
      <c r="F32" s="37"/>
      <c r="G32" s="37"/>
    </row>
    <row r="33" spans="2:7" ht="28.8" x14ac:dyDescent="0.3">
      <c r="B33" s="41"/>
      <c r="C33" s="8" t="s">
        <v>43</v>
      </c>
      <c r="D33" s="37"/>
      <c r="E33" s="37"/>
      <c r="F33" s="37"/>
      <c r="G33" s="37"/>
    </row>
    <row r="34" spans="2:7" ht="5.0999999999999996" customHeight="1" x14ac:dyDescent="0.3">
      <c r="B34" s="34"/>
      <c r="C34" s="34"/>
      <c r="D34" s="21" cm="1">
        <f t="array" ref="D34">_xlfn.IFS(D30="A",0.25,D30="B",0.5,D30="C",0.75,D30="D",1,D30="",0)</f>
        <v>0</v>
      </c>
      <c r="E34" s="21" cm="1">
        <f t="array" ref="E34">_xlfn.IFS(E30="A",0.25,E30="B",0.5,E30="C",0.75,E30="D",1,E30="",0)</f>
        <v>0</v>
      </c>
      <c r="F34" s="21" cm="1">
        <f t="array" ref="F34">_xlfn.IFS(F30="A",0.25,F30="B",0.5,F30="C",0.75,F30="D",1,F30="",0)</f>
        <v>0</v>
      </c>
      <c r="G34" s="21" cm="1">
        <f t="array" ref="G34">_xlfn.IFS(G30="A",0.25,G30="B",0.5,G30="C",0.75,G30="D",1,G30="",0)</f>
        <v>0</v>
      </c>
    </row>
    <row r="35" spans="2:7" x14ac:dyDescent="0.3">
      <c r="B35" s="5"/>
    </row>
  </sheetData>
  <sheetProtection algorithmName="SHA-512" hashValue="ObAuh3ZnQAXdTlbMuDVv6IrqMXzees2taXVH5EZwNUKNQ27G3EKsVm8W2Q0586DtChGBpG4flWU4DJFeHPYEIw==" saltValue="L+ZtIGv0S/mqx4GP4L/rNg==" spinCount="100000" sheet="1" objects="1" scenarios="1" selectLockedCells="1"/>
  <mergeCells count="31">
    <mergeCell ref="B34:C34"/>
    <mergeCell ref="B29:C29"/>
    <mergeCell ref="B30:B33"/>
    <mergeCell ref="D30:D33"/>
    <mergeCell ref="E30:E33"/>
    <mergeCell ref="F30:F33"/>
    <mergeCell ref="G30:G33"/>
    <mergeCell ref="B24:C24"/>
    <mergeCell ref="B25:B28"/>
    <mergeCell ref="D25:D28"/>
    <mergeCell ref="E25:E28"/>
    <mergeCell ref="F25:F28"/>
    <mergeCell ref="G25:G28"/>
    <mergeCell ref="G20:G23"/>
    <mergeCell ref="B14:C14"/>
    <mergeCell ref="B15:B18"/>
    <mergeCell ref="D15:D18"/>
    <mergeCell ref="E15:E18"/>
    <mergeCell ref="F15:F18"/>
    <mergeCell ref="G15:G18"/>
    <mergeCell ref="B19:C19"/>
    <mergeCell ref="B20:B23"/>
    <mergeCell ref="D20:D23"/>
    <mergeCell ref="E20:E23"/>
    <mergeCell ref="F20:F23"/>
    <mergeCell ref="G10:G13"/>
    <mergeCell ref="B8:C8"/>
    <mergeCell ref="B10:B13"/>
    <mergeCell ref="D10:D13"/>
    <mergeCell ref="E10:E13"/>
    <mergeCell ref="F10:F13"/>
  </mergeCells>
  <hyperlinks>
    <hyperlink ref="C3" r:id="rId1" display="camiloalfonso@ucompensar.edu.co" xr:uid="{59DCE8A3-3B2D-437B-B063-2BA29B31E36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Parametro no valido" promptTitle="Seleccione una opción" prompt="Elija entre las opciones" xr:uid="{071E1F9B-2705-471F-B271-63AC63F42FF2}">
          <x14:formula1>
            <xm:f>'Hoja docente'!$C$2:$C$5</xm:f>
          </x14:formula1>
          <xm:sqref>D10:G13 D25:G28 D15:G18 D20:G23 D30:G33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968F-D3D5-4E2E-856A-622DDA41FA57}">
  <dimension ref="B2:G35"/>
  <sheetViews>
    <sheetView showGridLines="0" showRowColHeaders="0" zoomScale="62" zoomScaleNormal="62" workbookViewId="0">
      <selection activeCell="D30" sqref="D30:G33"/>
    </sheetView>
  </sheetViews>
  <sheetFormatPr baseColWidth="10" defaultColWidth="11.44140625" defaultRowHeight="14.4" x14ac:dyDescent="0.3"/>
  <cols>
    <col min="1" max="1" width="11.44140625" style="1"/>
    <col min="2" max="2" width="30.88671875" style="1" customWidth="1"/>
    <col min="3" max="3" width="68" style="1" bestFit="1" customWidth="1"/>
    <col min="4" max="4" width="20.109375" style="1" bestFit="1" customWidth="1"/>
    <col min="5" max="5" width="20.5546875" style="1" bestFit="1" customWidth="1"/>
    <col min="6" max="7" width="20.109375" style="1" bestFit="1" customWidth="1"/>
    <col min="8" max="16384" width="11.44140625" style="1"/>
  </cols>
  <sheetData>
    <row r="2" spans="2:7" x14ac:dyDescent="0.3">
      <c r="B2" s="11" t="s">
        <v>18</v>
      </c>
      <c r="C2" s="12">
        <f>'Datos del grupo'!E6</f>
        <v>0</v>
      </c>
    </row>
    <row r="3" spans="2:7" x14ac:dyDescent="0.3">
      <c r="B3" s="11" t="s">
        <v>19</v>
      </c>
      <c r="C3" s="13">
        <f>'Datos del grupo'!F6</f>
        <v>0</v>
      </c>
    </row>
    <row r="4" spans="2:7" x14ac:dyDescent="0.3">
      <c r="B4" s="11" t="s">
        <v>23</v>
      </c>
      <c r="C4" s="14">
        <f>'Datos del grupo'!D3</f>
        <v>0</v>
      </c>
    </row>
    <row r="5" spans="2:7" x14ac:dyDescent="0.3">
      <c r="B5" s="11" t="s">
        <v>21</v>
      </c>
      <c r="C5" s="14" t="str">
        <f>'Datos del grupo'!C3</f>
        <v>EXTRACCION TRANSFORMACION Y CARGA DE DATOS</v>
      </c>
    </row>
    <row r="7" spans="2:7" x14ac:dyDescent="0.3">
      <c r="D7" s="4">
        <f>D14+D19+D24+D29+D34</f>
        <v>0</v>
      </c>
      <c r="E7" s="4">
        <f>E14+E19+E24+E29+E34</f>
        <v>0</v>
      </c>
      <c r="F7" s="4">
        <f>F14+F19+F24+F29+F34</f>
        <v>0</v>
      </c>
      <c r="G7" s="4">
        <f>G14+G19+G24+G29+G34</f>
        <v>0</v>
      </c>
    </row>
    <row r="8" spans="2:7" x14ac:dyDescent="0.3">
      <c r="B8" s="35" t="s">
        <v>15</v>
      </c>
      <c r="C8" s="35"/>
      <c r="D8" s="15" t="s">
        <v>11</v>
      </c>
      <c r="E8" s="15" t="s">
        <v>12</v>
      </c>
      <c r="F8" s="15" t="s">
        <v>13</v>
      </c>
      <c r="G8" s="15" t="s">
        <v>14</v>
      </c>
    </row>
    <row r="9" spans="2:7" ht="30" customHeight="1" x14ac:dyDescent="0.3">
      <c r="B9" s="16" t="s">
        <v>0</v>
      </c>
      <c r="C9" s="16" t="s">
        <v>1</v>
      </c>
      <c r="D9" s="16" t="str">
        <f>'Datos del grupo'!$E$3</f>
        <v>Miguel Angel Caballero Garcia</v>
      </c>
      <c r="E9" s="16">
        <f>'Datos del grupo'!$E$4</f>
        <v>0</v>
      </c>
      <c r="F9" s="16">
        <f>'Datos del grupo'!$E$5</f>
        <v>0</v>
      </c>
      <c r="G9" s="16">
        <f>'Datos del grupo'!$E$7</f>
        <v>0</v>
      </c>
    </row>
    <row r="10" spans="2:7" ht="15" customHeight="1" x14ac:dyDescent="0.3">
      <c r="B10" s="40" t="s">
        <v>2</v>
      </c>
      <c r="C10" s="10" t="s">
        <v>24</v>
      </c>
      <c r="D10" s="37"/>
      <c r="E10" s="37"/>
      <c r="F10" s="37"/>
      <c r="G10" s="37"/>
    </row>
    <row r="11" spans="2:7" ht="28.8" x14ac:dyDescent="0.3">
      <c r="B11" s="40"/>
      <c r="C11" s="7" t="s">
        <v>26</v>
      </c>
      <c r="D11" s="37"/>
      <c r="E11" s="37"/>
      <c r="F11" s="37"/>
      <c r="G11" s="37"/>
    </row>
    <row r="12" spans="2:7" ht="28.8" x14ac:dyDescent="0.3">
      <c r="B12" s="40"/>
      <c r="C12" s="7" t="s">
        <v>25</v>
      </c>
      <c r="D12" s="37"/>
      <c r="E12" s="37"/>
      <c r="F12" s="37"/>
      <c r="G12" s="37"/>
    </row>
    <row r="13" spans="2:7" ht="43.2" x14ac:dyDescent="0.3">
      <c r="B13" s="42"/>
      <c r="C13" s="7" t="s">
        <v>27</v>
      </c>
      <c r="D13" s="38"/>
      <c r="E13" s="38"/>
      <c r="F13" s="38"/>
      <c r="G13" s="38"/>
    </row>
    <row r="14" spans="2:7" ht="5.0999999999999996" customHeight="1" x14ac:dyDescent="0.3">
      <c r="B14" s="34"/>
      <c r="C14" s="34"/>
      <c r="D14" s="21" cm="1">
        <f t="array" ref="D14">_xlfn.IFS(D10="A",0.25,D10="B",0.5,D10="C",0.75,D10="D",1,D10="",0)</f>
        <v>0</v>
      </c>
      <c r="E14" s="21" cm="1">
        <f t="array" ref="E14">_xlfn.IFS(E10="A",0.25,E10="B",0.5,E10="C",0.75,E10="D",1,E10="",0)</f>
        <v>0</v>
      </c>
      <c r="F14" s="21" cm="1">
        <f t="array" ref="F14">_xlfn.IFS(F10="A",0.25,F10="B",0.5,F10="C",0.75,F10="D",1,F10="",0)</f>
        <v>0</v>
      </c>
      <c r="G14" s="21" cm="1">
        <f t="array" ref="G14">_xlfn.IFS(G10="A",0.25,G10="B",0.5,G10="C",0.75,G10="D",1,G10="",0)</f>
        <v>0</v>
      </c>
    </row>
    <row r="15" spans="2:7" ht="15" customHeight="1" x14ac:dyDescent="0.3">
      <c r="B15" s="43" t="s">
        <v>3</v>
      </c>
      <c r="C15" s="7" t="s">
        <v>28</v>
      </c>
      <c r="D15" s="39"/>
      <c r="E15" s="39"/>
      <c r="F15" s="39"/>
      <c r="G15" s="39"/>
    </row>
    <row r="16" spans="2:7" ht="28.8" x14ac:dyDescent="0.3">
      <c r="B16" s="41"/>
      <c r="C16" s="7" t="s">
        <v>29</v>
      </c>
      <c r="D16" s="37"/>
      <c r="E16" s="37"/>
      <c r="F16" s="37"/>
      <c r="G16" s="37"/>
    </row>
    <row r="17" spans="2:7" ht="28.8" x14ac:dyDescent="0.3">
      <c r="B17" s="41"/>
      <c r="C17" s="7" t="s">
        <v>30</v>
      </c>
      <c r="D17" s="37"/>
      <c r="E17" s="37"/>
      <c r="F17" s="37"/>
      <c r="G17" s="37"/>
    </row>
    <row r="18" spans="2:7" ht="43.2" x14ac:dyDescent="0.3">
      <c r="B18" s="41"/>
      <c r="C18" s="8" t="s">
        <v>31</v>
      </c>
      <c r="D18" s="37"/>
      <c r="E18" s="37"/>
      <c r="F18" s="37"/>
      <c r="G18" s="37"/>
    </row>
    <row r="19" spans="2:7" ht="5.0999999999999996" customHeight="1" x14ac:dyDescent="0.3">
      <c r="B19" s="36"/>
      <c r="C19" s="36"/>
      <c r="D19" s="20" cm="1">
        <f t="array" ref="D19">_xlfn.IFS(D15="A",0.25,D15="B",0.5,D15="C",0.75,D15="D",1,D15="",0)</f>
        <v>0</v>
      </c>
      <c r="E19" s="20" cm="1">
        <f t="array" ref="E19">_xlfn.IFS(E15="A",0.25,E15="B",0.5,E15="C",0.75,E15="D",1,E15="",0)</f>
        <v>0</v>
      </c>
      <c r="F19" s="20" cm="1">
        <f t="array" ref="F19">_xlfn.IFS(F15="A",0.25,F15="B",0.5,F15="C",0.75,F15="D",1,F15="",0)</f>
        <v>0</v>
      </c>
      <c r="G19" s="20" cm="1">
        <f t="array" ref="G19">_xlfn.IFS(G15="A",0.25,G15="B",0.5,G15="C",0.75,G15="D",1,G15="",0)</f>
        <v>0</v>
      </c>
    </row>
    <row r="20" spans="2:7" ht="15" customHeight="1" x14ac:dyDescent="0.3">
      <c r="B20" s="40" t="s">
        <v>4</v>
      </c>
      <c r="C20" s="9" t="s">
        <v>32</v>
      </c>
      <c r="D20" s="37"/>
      <c r="E20" s="37"/>
      <c r="F20" s="37"/>
      <c r="G20" s="37"/>
    </row>
    <row r="21" spans="2:7" ht="28.8" x14ac:dyDescent="0.3">
      <c r="B21" s="40"/>
      <c r="C21" s="7" t="s">
        <v>33</v>
      </c>
      <c r="D21" s="37"/>
      <c r="E21" s="37"/>
      <c r="F21" s="37"/>
      <c r="G21" s="37"/>
    </row>
    <row r="22" spans="2:7" ht="28.8" x14ac:dyDescent="0.3">
      <c r="B22" s="40"/>
      <c r="C22" s="7" t="s">
        <v>34</v>
      </c>
      <c r="D22" s="37"/>
      <c r="E22" s="37"/>
      <c r="F22" s="37"/>
      <c r="G22" s="37"/>
    </row>
    <row r="23" spans="2:7" ht="28.8" x14ac:dyDescent="0.3">
      <c r="B23" s="40"/>
      <c r="C23" s="8" t="s">
        <v>35</v>
      </c>
      <c r="D23" s="37"/>
      <c r="E23" s="37"/>
      <c r="F23" s="37"/>
      <c r="G23" s="37"/>
    </row>
    <row r="24" spans="2:7" ht="5.0999999999999996" customHeight="1" x14ac:dyDescent="0.3">
      <c r="B24" s="36"/>
      <c r="C24" s="36"/>
      <c r="D24" s="20" cm="1">
        <f t="array" ref="D24">_xlfn.IFS(D20="A",0.25,D20="B",0.5,D20="C",0.75,D20="D",1,D20="",0)</f>
        <v>0</v>
      </c>
      <c r="E24" s="20" cm="1">
        <f t="array" ref="E24">_xlfn.IFS(E20="A",0.25,E20="B",0.5,E20="C",0.75,E20="D",1,E20="",0)</f>
        <v>0</v>
      </c>
      <c r="F24" s="20" cm="1">
        <f t="array" ref="F24">_xlfn.IFS(F20="A",0.25,F20="B",0.5,F20="C",0.75,F20="D",1,F20="",0)</f>
        <v>0</v>
      </c>
      <c r="G24" s="20" cm="1">
        <f t="array" ref="G24">_xlfn.IFS(G20="A",0.25,G20="B",0.5,G20="C",0.75,G20="D",1,G20="",0)</f>
        <v>0</v>
      </c>
    </row>
    <row r="25" spans="2:7" ht="15" customHeight="1" x14ac:dyDescent="0.3">
      <c r="B25" s="40" t="s">
        <v>5</v>
      </c>
      <c r="C25" s="6" t="s">
        <v>36</v>
      </c>
      <c r="D25" s="37"/>
      <c r="E25" s="37"/>
      <c r="F25" s="37"/>
      <c r="G25" s="37"/>
    </row>
    <row r="26" spans="2:7" ht="28.8" x14ac:dyDescent="0.3">
      <c r="B26" s="41"/>
      <c r="C26" s="7" t="s">
        <v>37</v>
      </c>
      <c r="D26" s="37"/>
      <c r="E26" s="37"/>
      <c r="F26" s="37"/>
      <c r="G26" s="37"/>
    </row>
    <row r="27" spans="2:7" ht="28.8" x14ac:dyDescent="0.3">
      <c r="B27" s="41"/>
      <c r="C27" s="7" t="s">
        <v>38</v>
      </c>
      <c r="D27" s="37"/>
      <c r="E27" s="37"/>
      <c r="F27" s="37"/>
      <c r="G27" s="37"/>
    </row>
    <row r="28" spans="2:7" ht="28.8" x14ac:dyDescent="0.3">
      <c r="B28" s="41"/>
      <c r="C28" s="8" t="s">
        <v>39</v>
      </c>
      <c r="D28" s="37"/>
      <c r="E28" s="37"/>
      <c r="F28" s="37"/>
      <c r="G28" s="37"/>
    </row>
    <row r="29" spans="2:7" ht="5.0999999999999996" customHeight="1" x14ac:dyDescent="0.3">
      <c r="B29" s="36"/>
      <c r="C29" s="36"/>
      <c r="D29" s="20" cm="1">
        <f t="array" ref="D29">_xlfn.IFS(D25="A",0.25,D25="B",0.5,D25="C",0.75,D25="D",1,D25="",0)</f>
        <v>0</v>
      </c>
      <c r="E29" s="20" cm="1">
        <f t="array" ref="E29">_xlfn.IFS(E25="A",0.25,E25="B",0.5,E25="C",0.75,E25="D",1,E25="",0)</f>
        <v>0</v>
      </c>
      <c r="F29" s="20" cm="1">
        <f t="array" ref="F29">_xlfn.IFS(F25="A",0.25,F25="B",0.5,F25="C",0.75,F25="D",1,F25="",0)</f>
        <v>0</v>
      </c>
      <c r="G29" s="20" cm="1">
        <f t="array" ref="G29">_xlfn.IFS(G25="A",0.25,G25="B",0.5,G25="C",0.75,G25="D",1,G25="",0)</f>
        <v>0</v>
      </c>
    </row>
    <row r="30" spans="2:7" ht="15" customHeight="1" x14ac:dyDescent="0.3">
      <c r="B30" s="40" t="s">
        <v>6</v>
      </c>
      <c r="C30" s="6" t="s">
        <v>40</v>
      </c>
      <c r="D30" s="37"/>
      <c r="E30" s="37"/>
      <c r="F30" s="37"/>
      <c r="G30" s="37"/>
    </row>
    <row r="31" spans="2:7" ht="28.8" x14ac:dyDescent="0.3">
      <c r="B31" s="41"/>
      <c r="C31" s="7" t="s">
        <v>41</v>
      </c>
      <c r="D31" s="37"/>
      <c r="E31" s="37"/>
      <c r="F31" s="37"/>
      <c r="G31" s="37"/>
    </row>
    <row r="32" spans="2:7" ht="28.8" x14ac:dyDescent="0.3">
      <c r="B32" s="41"/>
      <c r="C32" s="7" t="s">
        <v>42</v>
      </c>
      <c r="D32" s="37"/>
      <c r="E32" s="37"/>
      <c r="F32" s="37"/>
      <c r="G32" s="37"/>
    </row>
    <row r="33" spans="2:7" ht="28.8" x14ac:dyDescent="0.3">
      <c r="B33" s="41"/>
      <c r="C33" s="8" t="s">
        <v>43</v>
      </c>
      <c r="D33" s="37"/>
      <c r="E33" s="37"/>
      <c r="F33" s="37"/>
      <c r="G33" s="37"/>
    </row>
    <row r="34" spans="2:7" ht="5.0999999999999996" customHeight="1" x14ac:dyDescent="0.3">
      <c r="B34" s="34"/>
      <c r="C34" s="34"/>
      <c r="D34" s="21" cm="1">
        <f t="array" ref="D34">_xlfn.IFS(D30="A",0.25,D30="B",0.5,D30="C",0.75,D30="D",1,D30="",0)</f>
        <v>0</v>
      </c>
      <c r="E34" s="21" cm="1">
        <f t="array" ref="E34">_xlfn.IFS(E30="A",0.25,E30="B",0.5,E30="C",0.75,E30="D",1,E30="",0)</f>
        <v>0</v>
      </c>
      <c r="F34" s="21" cm="1">
        <f t="array" ref="F34">_xlfn.IFS(F30="A",0.25,F30="B",0.5,F30="C",0.75,F30="D",1,F30="",0)</f>
        <v>0</v>
      </c>
      <c r="G34" s="21" cm="1">
        <f t="array" ref="G34">_xlfn.IFS(G30="A",0.25,G30="B",0.5,G30="C",0.75,G30="D",1,G30="",0)</f>
        <v>0</v>
      </c>
    </row>
    <row r="35" spans="2:7" x14ac:dyDescent="0.3">
      <c r="B35" s="5"/>
    </row>
  </sheetData>
  <sheetProtection algorithmName="SHA-512" hashValue="L1UJMTlhccy4Dyjw+pj08hO0Cd0XvL60H8hD3DJmFE4PDSwv5kdDXrwYXBJmFTA5Zi3/V2jyIw8pHf3H8OiiQA==" saltValue="fPJJvn3zGvZP3rUwTTl5ug==" spinCount="100000" sheet="1" objects="1" scenarios="1" selectLockedCells="1"/>
  <mergeCells count="31">
    <mergeCell ref="B34:C34"/>
    <mergeCell ref="B29:C29"/>
    <mergeCell ref="B30:B33"/>
    <mergeCell ref="D30:D33"/>
    <mergeCell ref="E30:E33"/>
    <mergeCell ref="F30:F33"/>
    <mergeCell ref="G30:G33"/>
    <mergeCell ref="B24:C24"/>
    <mergeCell ref="B25:B28"/>
    <mergeCell ref="D25:D28"/>
    <mergeCell ref="E25:E28"/>
    <mergeCell ref="F25:F28"/>
    <mergeCell ref="G25:G28"/>
    <mergeCell ref="G20:G23"/>
    <mergeCell ref="B14:C14"/>
    <mergeCell ref="B15:B18"/>
    <mergeCell ref="D15:D18"/>
    <mergeCell ref="E15:E18"/>
    <mergeCell ref="F15:F18"/>
    <mergeCell ref="G15:G18"/>
    <mergeCell ref="B19:C19"/>
    <mergeCell ref="B20:B23"/>
    <mergeCell ref="D20:D23"/>
    <mergeCell ref="E20:E23"/>
    <mergeCell ref="F20:F23"/>
    <mergeCell ref="G10:G13"/>
    <mergeCell ref="B8:C8"/>
    <mergeCell ref="B10:B13"/>
    <mergeCell ref="D10:D13"/>
    <mergeCell ref="E10:E13"/>
    <mergeCell ref="F10:F13"/>
  </mergeCells>
  <hyperlinks>
    <hyperlink ref="C3" r:id="rId1" display="camiloalfonso@ucompensar.edu.co" xr:uid="{30521BE8-590B-45D6-BF22-C445CC21C22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Parametro no valido" promptTitle="Seleccione una opción" prompt="Elija entre las opciones" xr:uid="{D1860E7E-C853-4B6A-B958-D3D40DAB31D5}">
          <x14:formula1>
            <xm:f>'Hoja docente'!$C$2:$C$5</xm:f>
          </x14:formula1>
          <xm:sqref>D10:G13 D25:G28 D15:G18 D20:G23 D30:G33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7D53-F693-4C40-B41A-099538A53965}">
  <dimension ref="B2:G35"/>
  <sheetViews>
    <sheetView showGridLines="0" showRowColHeaders="0" zoomScale="130" zoomScaleNormal="130" workbookViewId="0">
      <selection activeCell="D30" sqref="D30:G33"/>
    </sheetView>
  </sheetViews>
  <sheetFormatPr baseColWidth="10" defaultColWidth="11.44140625" defaultRowHeight="14.4" x14ac:dyDescent="0.3"/>
  <cols>
    <col min="1" max="1" width="11.44140625" style="1"/>
    <col min="2" max="2" width="30.88671875" style="1" customWidth="1"/>
    <col min="3" max="3" width="68" style="1" bestFit="1" customWidth="1"/>
    <col min="4" max="4" width="20.109375" style="1" bestFit="1" customWidth="1"/>
    <col min="5" max="5" width="20.5546875" style="1" bestFit="1" customWidth="1"/>
    <col min="6" max="7" width="20.109375" style="1" bestFit="1" customWidth="1"/>
    <col min="8" max="16384" width="11.44140625" style="1"/>
  </cols>
  <sheetData>
    <row r="2" spans="2:7" x14ac:dyDescent="0.3">
      <c r="B2" s="11" t="s">
        <v>18</v>
      </c>
      <c r="C2" s="12">
        <f>'Datos del grupo'!E7</f>
        <v>0</v>
      </c>
    </row>
    <row r="3" spans="2:7" x14ac:dyDescent="0.3">
      <c r="B3" s="11" t="s">
        <v>19</v>
      </c>
      <c r="C3" s="13">
        <f>'Datos del grupo'!F7</f>
        <v>0</v>
      </c>
    </row>
    <row r="4" spans="2:7" x14ac:dyDescent="0.3">
      <c r="B4" s="11" t="s">
        <v>23</v>
      </c>
      <c r="C4" s="14">
        <f>'Datos del grupo'!D3</f>
        <v>0</v>
      </c>
    </row>
    <row r="5" spans="2:7" x14ac:dyDescent="0.3">
      <c r="B5" s="11" t="s">
        <v>21</v>
      </c>
      <c r="C5" s="14" t="str">
        <f>'Datos del grupo'!C3</f>
        <v>EXTRACCION TRANSFORMACION Y CARGA DE DATOS</v>
      </c>
    </row>
    <row r="7" spans="2:7" x14ac:dyDescent="0.3">
      <c r="D7" s="4">
        <f>D14+D19+D24+D29+D34</f>
        <v>0</v>
      </c>
      <c r="E7" s="4">
        <f>E14+E19+E24+E29+E34</f>
        <v>0</v>
      </c>
      <c r="F7" s="4">
        <f>F14+F19+F24+F29+F34</f>
        <v>0</v>
      </c>
      <c r="G7" s="4">
        <f>G14+G19+G24+G29+G34</f>
        <v>0</v>
      </c>
    </row>
    <row r="8" spans="2:7" x14ac:dyDescent="0.3">
      <c r="B8" s="35" t="s">
        <v>15</v>
      </c>
      <c r="C8" s="35"/>
      <c r="D8" s="15" t="s">
        <v>11</v>
      </c>
      <c r="E8" s="15" t="s">
        <v>12</v>
      </c>
      <c r="F8" s="15" t="s">
        <v>13</v>
      </c>
      <c r="G8" s="15" t="s">
        <v>14</v>
      </c>
    </row>
    <row r="9" spans="2:7" ht="30" customHeight="1" x14ac:dyDescent="0.3">
      <c r="B9" s="16" t="s">
        <v>0</v>
      </c>
      <c r="C9" s="16" t="s">
        <v>1</v>
      </c>
      <c r="D9" s="16" t="str">
        <f>'Datos del grupo'!$E$3</f>
        <v>Miguel Angel Caballero Garcia</v>
      </c>
      <c r="E9" s="16">
        <f>'Datos del grupo'!$E$4</f>
        <v>0</v>
      </c>
      <c r="F9" s="16">
        <f>'Datos del grupo'!$E$5</f>
        <v>0</v>
      </c>
      <c r="G9" s="16">
        <f>'Datos del grupo'!$E$6</f>
        <v>0</v>
      </c>
    </row>
    <row r="10" spans="2:7" ht="15" customHeight="1" x14ac:dyDescent="0.3">
      <c r="B10" s="40" t="s">
        <v>2</v>
      </c>
      <c r="C10" s="10" t="s">
        <v>24</v>
      </c>
      <c r="D10" s="37"/>
      <c r="E10" s="37"/>
      <c r="F10" s="37"/>
      <c r="G10" s="37"/>
    </row>
    <row r="11" spans="2:7" ht="28.8" x14ac:dyDescent="0.3">
      <c r="B11" s="40"/>
      <c r="C11" s="7" t="s">
        <v>26</v>
      </c>
      <c r="D11" s="37"/>
      <c r="E11" s="37"/>
      <c r="F11" s="37"/>
      <c r="G11" s="37"/>
    </row>
    <row r="12" spans="2:7" ht="28.8" x14ac:dyDescent="0.3">
      <c r="B12" s="40"/>
      <c r="C12" s="7" t="s">
        <v>25</v>
      </c>
      <c r="D12" s="37"/>
      <c r="E12" s="37"/>
      <c r="F12" s="37"/>
      <c r="G12" s="37"/>
    </row>
    <row r="13" spans="2:7" ht="43.2" x14ac:dyDescent="0.3">
      <c r="B13" s="42"/>
      <c r="C13" s="7" t="s">
        <v>27</v>
      </c>
      <c r="D13" s="38"/>
      <c r="E13" s="38"/>
      <c r="F13" s="38"/>
      <c r="G13" s="38"/>
    </row>
    <row r="14" spans="2:7" ht="5.0999999999999996" customHeight="1" x14ac:dyDescent="0.3">
      <c r="B14" s="34"/>
      <c r="C14" s="34"/>
      <c r="D14" s="21" cm="1">
        <f t="array" ref="D14">_xlfn.IFS(D10="A",0.25,D10="B",0.5,D10="C",0.75,D10="D",1,D10="",0)</f>
        <v>0</v>
      </c>
      <c r="E14" s="21" cm="1">
        <f t="array" ref="E14">_xlfn.IFS(E10="A",0.25,E10="B",0.5,E10="C",0.75,E10="D",1,E10="",0)</f>
        <v>0</v>
      </c>
      <c r="F14" s="21" cm="1">
        <f t="array" ref="F14">_xlfn.IFS(F10="A",0.25,F10="B",0.5,F10="C",0.75,F10="D",1,F10="",0)</f>
        <v>0</v>
      </c>
      <c r="G14" s="21" cm="1">
        <f t="array" ref="G14">_xlfn.IFS(G10="A",0.25,G10="B",0.5,G10="C",0.75,G10="D",1,G10="",0)</f>
        <v>0</v>
      </c>
    </row>
    <row r="15" spans="2:7" ht="15" customHeight="1" x14ac:dyDescent="0.3">
      <c r="B15" s="43" t="s">
        <v>3</v>
      </c>
      <c r="C15" s="7" t="s">
        <v>28</v>
      </c>
      <c r="D15" s="39"/>
      <c r="E15" s="39"/>
      <c r="F15" s="39"/>
      <c r="G15" s="39"/>
    </row>
    <row r="16" spans="2:7" ht="28.8" x14ac:dyDescent="0.3">
      <c r="B16" s="41"/>
      <c r="C16" s="7" t="s">
        <v>29</v>
      </c>
      <c r="D16" s="37"/>
      <c r="E16" s="37"/>
      <c r="F16" s="37"/>
      <c r="G16" s="37"/>
    </row>
    <row r="17" spans="2:7" ht="28.8" x14ac:dyDescent="0.3">
      <c r="B17" s="41"/>
      <c r="C17" s="7" t="s">
        <v>30</v>
      </c>
      <c r="D17" s="37"/>
      <c r="E17" s="37"/>
      <c r="F17" s="37"/>
      <c r="G17" s="37"/>
    </row>
    <row r="18" spans="2:7" ht="43.2" x14ac:dyDescent="0.3">
      <c r="B18" s="41"/>
      <c r="C18" s="8" t="s">
        <v>31</v>
      </c>
      <c r="D18" s="37"/>
      <c r="E18" s="37"/>
      <c r="F18" s="37"/>
      <c r="G18" s="37"/>
    </row>
    <row r="19" spans="2:7" ht="5.0999999999999996" customHeight="1" x14ac:dyDescent="0.3">
      <c r="B19" s="36"/>
      <c r="C19" s="36"/>
      <c r="D19" s="20" cm="1">
        <f t="array" ref="D19">_xlfn.IFS(D15="A",0.25,D15="B",0.5,D15="C",0.75,D15="D",1,D15="",0)</f>
        <v>0</v>
      </c>
      <c r="E19" s="20" cm="1">
        <f t="array" ref="E19">_xlfn.IFS(E15="A",0.25,E15="B",0.5,E15="C",0.75,E15="D",1,E15="",0)</f>
        <v>0</v>
      </c>
      <c r="F19" s="20" cm="1">
        <f t="array" ref="F19">_xlfn.IFS(F15="A",0.25,F15="B",0.5,F15="C",0.75,F15="D",1,F15="",0)</f>
        <v>0</v>
      </c>
      <c r="G19" s="20" cm="1">
        <f t="array" ref="G19">_xlfn.IFS(G15="A",0.25,G15="B",0.5,G15="C",0.75,G15="D",1,G15="",0)</f>
        <v>0</v>
      </c>
    </row>
    <row r="20" spans="2:7" ht="15" customHeight="1" x14ac:dyDescent="0.3">
      <c r="B20" s="40" t="s">
        <v>4</v>
      </c>
      <c r="C20" s="9" t="s">
        <v>32</v>
      </c>
      <c r="D20" s="37"/>
      <c r="E20" s="37"/>
      <c r="F20" s="37"/>
      <c r="G20" s="37"/>
    </row>
    <row r="21" spans="2:7" ht="28.8" x14ac:dyDescent="0.3">
      <c r="B21" s="40"/>
      <c r="C21" s="7" t="s">
        <v>33</v>
      </c>
      <c r="D21" s="37"/>
      <c r="E21" s="37"/>
      <c r="F21" s="37"/>
      <c r="G21" s="37"/>
    </row>
    <row r="22" spans="2:7" ht="28.8" x14ac:dyDescent="0.3">
      <c r="B22" s="40"/>
      <c r="C22" s="7" t="s">
        <v>34</v>
      </c>
      <c r="D22" s="37"/>
      <c r="E22" s="37"/>
      <c r="F22" s="37"/>
      <c r="G22" s="37"/>
    </row>
    <row r="23" spans="2:7" ht="28.8" x14ac:dyDescent="0.3">
      <c r="B23" s="40"/>
      <c r="C23" s="8" t="s">
        <v>35</v>
      </c>
      <c r="D23" s="37"/>
      <c r="E23" s="37"/>
      <c r="F23" s="37"/>
      <c r="G23" s="37"/>
    </row>
    <row r="24" spans="2:7" ht="5.0999999999999996" customHeight="1" x14ac:dyDescent="0.3">
      <c r="B24" s="36"/>
      <c r="C24" s="36"/>
      <c r="D24" s="20" cm="1">
        <f t="array" ref="D24">_xlfn.IFS(D20="A",0.25,D20="B",0.5,D20="C",0.75,D20="D",1,D20="",0)</f>
        <v>0</v>
      </c>
      <c r="E24" s="20" cm="1">
        <f t="array" ref="E24">_xlfn.IFS(E20="A",0.25,E20="B",0.5,E20="C",0.75,E20="D",1,E20="",0)</f>
        <v>0</v>
      </c>
      <c r="F24" s="20" cm="1">
        <f t="array" ref="F24">_xlfn.IFS(F20="A",0.25,F20="B",0.5,F20="C",0.75,F20="D",1,F20="",0)</f>
        <v>0</v>
      </c>
      <c r="G24" s="20" cm="1">
        <f t="array" ref="G24">_xlfn.IFS(G20="A",0.25,G20="B",0.5,G20="C",0.75,G20="D",1,G20="",0)</f>
        <v>0</v>
      </c>
    </row>
    <row r="25" spans="2:7" ht="15" customHeight="1" x14ac:dyDescent="0.3">
      <c r="B25" s="40" t="s">
        <v>5</v>
      </c>
      <c r="C25" s="6" t="s">
        <v>36</v>
      </c>
      <c r="D25" s="37"/>
      <c r="E25" s="37"/>
      <c r="F25" s="37"/>
      <c r="G25" s="37"/>
    </row>
    <row r="26" spans="2:7" ht="28.8" x14ac:dyDescent="0.3">
      <c r="B26" s="41"/>
      <c r="C26" s="7" t="s">
        <v>37</v>
      </c>
      <c r="D26" s="37"/>
      <c r="E26" s="37"/>
      <c r="F26" s="37"/>
      <c r="G26" s="37"/>
    </row>
    <row r="27" spans="2:7" ht="28.8" x14ac:dyDescent="0.3">
      <c r="B27" s="41"/>
      <c r="C27" s="7" t="s">
        <v>38</v>
      </c>
      <c r="D27" s="37"/>
      <c r="E27" s="37"/>
      <c r="F27" s="37"/>
      <c r="G27" s="37"/>
    </row>
    <row r="28" spans="2:7" ht="28.8" x14ac:dyDescent="0.3">
      <c r="B28" s="41"/>
      <c r="C28" s="8" t="s">
        <v>39</v>
      </c>
      <c r="D28" s="37"/>
      <c r="E28" s="37"/>
      <c r="F28" s="37"/>
      <c r="G28" s="37"/>
    </row>
    <row r="29" spans="2:7" ht="5.0999999999999996" customHeight="1" x14ac:dyDescent="0.3">
      <c r="B29" s="36"/>
      <c r="C29" s="36"/>
      <c r="D29" s="20" cm="1">
        <f t="array" ref="D29">_xlfn.IFS(D25="A",0.25,D25="B",0.5,D25="C",0.75,D25="D",1,D25="",0)</f>
        <v>0</v>
      </c>
      <c r="E29" s="20" cm="1">
        <f t="array" ref="E29">_xlfn.IFS(E25="A",0.25,E25="B",0.5,E25="C",0.75,E25="D",1,E25="",0)</f>
        <v>0</v>
      </c>
      <c r="F29" s="20" cm="1">
        <f t="array" ref="F29">_xlfn.IFS(F25="A",0.25,F25="B",0.5,F25="C",0.75,F25="D",1,F25="",0)</f>
        <v>0</v>
      </c>
      <c r="G29" s="20" cm="1">
        <f t="array" ref="G29">_xlfn.IFS(G25="A",0.25,G25="B",0.5,G25="C",0.75,G25="D",1,G25="",0)</f>
        <v>0</v>
      </c>
    </row>
    <row r="30" spans="2:7" ht="15" customHeight="1" x14ac:dyDescent="0.3">
      <c r="B30" s="40" t="s">
        <v>6</v>
      </c>
      <c r="C30" s="6" t="s">
        <v>40</v>
      </c>
      <c r="D30" s="37"/>
      <c r="E30" s="37"/>
      <c r="F30" s="37"/>
      <c r="G30" s="37"/>
    </row>
    <row r="31" spans="2:7" ht="28.8" x14ac:dyDescent="0.3">
      <c r="B31" s="41"/>
      <c r="C31" s="7" t="s">
        <v>41</v>
      </c>
      <c r="D31" s="37"/>
      <c r="E31" s="37"/>
      <c r="F31" s="37"/>
      <c r="G31" s="37"/>
    </row>
    <row r="32" spans="2:7" ht="28.8" x14ac:dyDescent="0.3">
      <c r="B32" s="41"/>
      <c r="C32" s="7" t="s">
        <v>42</v>
      </c>
      <c r="D32" s="37"/>
      <c r="E32" s="37"/>
      <c r="F32" s="37"/>
      <c r="G32" s="37"/>
    </row>
    <row r="33" spans="2:7" ht="28.8" x14ac:dyDescent="0.3">
      <c r="B33" s="41"/>
      <c r="C33" s="8" t="s">
        <v>43</v>
      </c>
      <c r="D33" s="37"/>
      <c r="E33" s="37"/>
      <c r="F33" s="37"/>
      <c r="G33" s="37"/>
    </row>
    <row r="34" spans="2:7" ht="5.0999999999999996" customHeight="1" x14ac:dyDescent="0.3">
      <c r="B34" s="34"/>
      <c r="C34" s="34"/>
      <c r="D34" s="21" cm="1">
        <f t="array" ref="D34">_xlfn.IFS(D30="A",0.25,D30="B",0.5,D30="C",0.75,D30="D",1,D30="",0)</f>
        <v>0</v>
      </c>
      <c r="E34" s="21" cm="1">
        <f t="array" ref="E34">_xlfn.IFS(E30="A",0.25,E30="B",0.5,E30="C",0.75,E30="D",1,E30="",0)</f>
        <v>0</v>
      </c>
      <c r="F34" s="21" cm="1">
        <f t="array" ref="F34">_xlfn.IFS(F30="A",0.25,F30="B",0.5,F30="C",0.75,F30="D",1,F30="",0)</f>
        <v>0</v>
      </c>
      <c r="G34" s="21" cm="1">
        <f t="array" ref="G34">_xlfn.IFS(G30="A",0.25,G30="B",0.5,G30="C",0.75,G30="D",1,G30="",0)</f>
        <v>0</v>
      </c>
    </row>
    <row r="35" spans="2:7" x14ac:dyDescent="0.3">
      <c r="B35" s="5"/>
    </row>
  </sheetData>
  <sheetProtection algorithmName="SHA-512" hashValue="tqFYQOi2C9BMLfyYYVo9sXIPPMMepSsXWKkcHfDOY4bcBts/vAE4cNnqgN5z1ualueBqAr5Lr9X89KHTQDFsYg==" saltValue="xvMghdYd22bsB4A5MFqWFA==" spinCount="100000" sheet="1" objects="1" scenarios="1" selectLockedCells="1"/>
  <mergeCells count="31">
    <mergeCell ref="B34:C34"/>
    <mergeCell ref="B29:C29"/>
    <mergeCell ref="B30:B33"/>
    <mergeCell ref="D30:D33"/>
    <mergeCell ref="E30:E33"/>
    <mergeCell ref="F30:F33"/>
    <mergeCell ref="G30:G33"/>
    <mergeCell ref="B24:C24"/>
    <mergeCell ref="B25:B28"/>
    <mergeCell ref="D25:D28"/>
    <mergeCell ref="E25:E28"/>
    <mergeCell ref="F25:F28"/>
    <mergeCell ref="G25:G28"/>
    <mergeCell ref="G20:G23"/>
    <mergeCell ref="B14:C14"/>
    <mergeCell ref="B15:B18"/>
    <mergeCell ref="D15:D18"/>
    <mergeCell ref="E15:E18"/>
    <mergeCell ref="F15:F18"/>
    <mergeCell ref="G15:G18"/>
    <mergeCell ref="B19:C19"/>
    <mergeCell ref="B20:B23"/>
    <mergeCell ref="D20:D23"/>
    <mergeCell ref="E20:E23"/>
    <mergeCell ref="F20:F23"/>
    <mergeCell ref="G10:G13"/>
    <mergeCell ref="B8:C8"/>
    <mergeCell ref="B10:B13"/>
    <mergeCell ref="D10:D13"/>
    <mergeCell ref="E10:E13"/>
    <mergeCell ref="F10:F13"/>
  </mergeCells>
  <hyperlinks>
    <hyperlink ref="C3" r:id="rId1" display="camiloalfonso@ucompensar.edu.co" xr:uid="{5B8911C0-4561-4FB7-8153-E6753E35FCC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Parametro no valido" promptTitle="Seleccione una opción" prompt="Elija entre las opciones" xr:uid="{85829475-C00B-4F2B-B437-CF19E8F6E56F}">
          <x14:formula1>
            <xm:f>'Hoja docente'!$C$2:$C$5</xm:f>
          </x14:formula1>
          <xm:sqref>D10:G13 D25:G28 D15:G18 D20:G23 D30:G33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856F-A652-43FF-A1A4-5CFE201B921F}">
  <dimension ref="B2:I34"/>
  <sheetViews>
    <sheetView showGridLines="0" workbookViewId="0">
      <selection activeCell="H7" sqref="H7"/>
    </sheetView>
  </sheetViews>
  <sheetFormatPr baseColWidth="10" defaultColWidth="11.44140625" defaultRowHeight="14.4" x14ac:dyDescent="0.3"/>
  <cols>
    <col min="1" max="1" width="3.44140625" style="2" customWidth="1"/>
    <col min="2" max="2" width="19.33203125" style="1" customWidth="1"/>
    <col min="3" max="3" width="18.109375" style="1" bestFit="1" customWidth="1"/>
    <col min="4" max="4" width="11.44140625" style="1"/>
    <col min="5" max="5" width="5.5546875" style="2" bestFit="1" customWidth="1"/>
    <col min="6" max="6" width="11.44140625" style="2"/>
    <col min="7" max="7" width="18.109375" style="1" bestFit="1" customWidth="1"/>
    <col min="8" max="8" width="11.44140625" style="1"/>
    <col min="9" max="16384" width="11.44140625" style="2"/>
  </cols>
  <sheetData>
    <row r="2" spans="2:9" hidden="1" x14ac:dyDescent="0.3">
      <c r="B2" s="25"/>
      <c r="C2" s="26" t="s">
        <v>7</v>
      </c>
      <c r="D2" s="27"/>
      <c r="E2" s="22"/>
    </row>
    <row r="3" spans="2:9" hidden="1" x14ac:dyDescent="0.3">
      <c r="B3" s="25"/>
      <c r="C3" s="26" t="s">
        <v>8</v>
      </c>
      <c r="D3" s="5"/>
      <c r="E3" s="3"/>
    </row>
    <row r="4" spans="2:9" hidden="1" x14ac:dyDescent="0.3">
      <c r="B4" s="25"/>
      <c r="C4" s="26" t="s">
        <v>9</v>
      </c>
      <c r="D4" s="27"/>
      <c r="E4" s="22"/>
    </row>
    <row r="5" spans="2:9" hidden="1" x14ac:dyDescent="0.3">
      <c r="B5" s="25"/>
      <c r="C5" s="26" t="s">
        <v>10</v>
      </c>
      <c r="D5" s="5"/>
      <c r="E5" s="3"/>
    </row>
    <row r="6" spans="2:9" ht="28.8" x14ac:dyDescent="0.3">
      <c r="B6" s="28" t="s">
        <v>22</v>
      </c>
      <c r="C6" s="28" t="s">
        <v>16</v>
      </c>
      <c r="D6" s="28" t="s">
        <v>17</v>
      </c>
      <c r="E6" s="22"/>
      <c r="G6" s="31" t="s">
        <v>16</v>
      </c>
      <c r="H6" s="31" t="s">
        <v>47</v>
      </c>
    </row>
    <row r="7" spans="2:9" x14ac:dyDescent="0.3">
      <c r="B7" s="1" t="str">
        <f>'Estudiante 1'!$C$2</f>
        <v>Miguel Angel Caballero Garcia</v>
      </c>
      <c r="C7" s="29">
        <f>'Estudiante 1'!D$9</f>
        <v>0</v>
      </c>
      <c r="D7" s="30">
        <f>_xlfn.XLOOKUP($C$7,'Estudiante 1'!$D$9:$G$9,'Estudiante 1'!$D$7:$G$7,0,0,1)</f>
        <v>5</v>
      </c>
      <c r="G7" s="29" t="str">
        <f>'Estudiante 1'!C$2</f>
        <v>Miguel Angel Caballero Garcia</v>
      </c>
      <c r="H7" s="32">
        <f>IFERROR(AVERAGEIFS(D:D,D:D,"&lt;&gt;0",C:C,G7),0)</f>
        <v>1</v>
      </c>
      <c r="I7" s="23"/>
    </row>
    <row r="8" spans="2:9" x14ac:dyDescent="0.3">
      <c r="B8" s="28" t="s">
        <v>20</v>
      </c>
      <c r="C8" s="29">
        <f>'Estudiante 1'!E$9</f>
        <v>0</v>
      </c>
      <c r="D8" s="30">
        <f>_xlfn.XLOOKUP($C$8,'Estudiante 1'!$D$9:$G$9,'Estudiante 1'!$D$7:$G$7,0,0,1)</f>
        <v>5</v>
      </c>
      <c r="G8" s="29">
        <f>'Estudiante 2'!C$2</f>
        <v>0</v>
      </c>
      <c r="H8" s="32">
        <f>IFERROR(AVERAGEIFS(D:D,D:D,"&lt;&gt;0",C:C,G8),0)</f>
        <v>3.2857142857142856</v>
      </c>
      <c r="I8" s="23"/>
    </row>
    <row r="9" spans="2:9" x14ac:dyDescent="0.3">
      <c r="B9" s="1">
        <f>'Estudiante 1'!$C$4</f>
        <v>0</v>
      </c>
      <c r="C9" s="29">
        <f>'Estudiante 1'!F$9</f>
        <v>0</v>
      </c>
      <c r="D9" s="30">
        <f>_xlfn.XLOOKUP($C$9,'Estudiante 1'!$D$9:$G$9,'Estudiante 1'!$D$7:$G$7,0,0,1)</f>
        <v>5</v>
      </c>
      <c r="G9" s="29">
        <f>'Estudiante 3'!C$2</f>
        <v>0</v>
      </c>
      <c r="H9" s="32">
        <f>IFERROR(AVERAGEIFS(D:D,D:D,"&lt;&gt;0",C:C,G9),0)</f>
        <v>3.2857142857142856</v>
      </c>
      <c r="I9" s="23"/>
    </row>
    <row r="10" spans="2:9" x14ac:dyDescent="0.3">
      <c r="C10" s="29">
        <f>'Estudiante 1'!G$9</f>
        <v>0</v>
      </c>
      <c r="D10" s="30">
        <f>_xlfn.XLOOKUP($C$10,'Estudiante 1'!$D$9:$G$9,'Estudiante 1'!$D$7:$G$7,0,0,1)</f>
        <v>5</v>
      </c>
      <c r="G10" s="29">
        <f>'Estudiante 4'!C$2</f>
        <v>0</v>
      </c>
      <c r="H10" s="32">
        <f>IFERROR(AVERAGEIFS(D:D,D:D,"&lt;&gt;0",C:C,G10),0)</f>
        <v>3.2857142857142856</v>
      </c>
      <c r="I10" s="23"/>
    </row>
    <row r="11" spans="2:9" x14ac:dyDescent="0.3">
      <c r="G11" s="29">
        <f>'Estudiante 5'!C$2</f>
        <v>0</v>
      </c>
      <c r="H11" s="32">
        <f>IFERROR(AVERAGEIFS(D:D,D:D,"&lt;&gt;0",C:C,G11),0)</f>
        <v>3.2857142857142856</v>
      </c>
      <c r="I11" s="23"/>
    </row>
    <row r="12" spans="2:9" ht="28.8" x14ac:dyDescent="0.3">
      <c r="B12" s="28" t="s">
        <v>22</v>
      </c>
      <c r="C12" s="28" t="s">
        <v>16</v>
      </c>
      <c r="D12" s="28" t="s">
        <v>17</v>
      </c>
    </row>
    <row r="13" spans="2:9" x14ac:dyDescent="0.3">
      <c r="B13" s="1">
        <f>'Estudiante 2'!$C$2</f>
        <v>0</v>
      </c>
      <c r="C13" s="29" t="str">
        <f>'Estudiante 2'!D$9</f>
        <v>Miguel Angel Caballero Garcia</v>
      </c>
      <c r="D13" s="30">
        <f>_xlfn.XLOOKUP($C$13,'Estudiante 2'!$D$9:$G$9,'Estudiante 2'!$D$7:$G$7,0,0,1)</f>
        <v>1</v>
      </c>
    </row>
    <row r="14" spans="2:9" x14ac:dyDescent="0.3">
      <c r="B14" s="28" t="s">
        <v>20</v>
      </c>
      <c r="C14" s="29">
        <f>'Estudiante 2'!E$9</f>
        <v>0</v>
      </c>
      <c r="D14" s="30">
        <f>_xlfn.XLOOKUP($C$14,'Estudiante 2'!$D$9:$G$9,'Estudiante 2'!$D$7:$G$7,0,0,1)</f>
        <v>1</v>
      </c>
    </row>
    <row r="15" spans="2:9" x14ac:dyDescent="0.3">
      <c r="B15" s="1">
        <f>'Estudiante 1'!$C$4</f>
        <v>0</v>
      </c>
      <c r="C15" s="29">
        <f>'Estudiante 2'!F$9</f>
        <v>0</v>
      </c>
      <c r="D15" s="30">
        <f>_xlfn.XLOOKUP($C$15,'Estudiante 2'!$D$9:$G$9,'Estudiante 2'!$D$7:$G$7,0,0,1)</f>
        <v>1</v>
      </c>
    </row>
    <row r="16" spans="2:9" x14ac:dyDescent="0.3">
      <c r="C16" s="29">
        <f>'Estudiante 2'!G$9</f>
        <v>0</v>
      </c>
      <c r="D16" s="30">
        <f>_xlfn.XLOOKUP($C$16,'Estudiante 2'!$D$9:$G$9,'Estudiante 2'!$D$7:$G$7,0,0,1)</f>
        <v>1</v>
      </c>
    </row>
    <row r="18" spans="2:5" ht="28.8" x14ac:dyDescent="0.3">
      <c r="B18" s="28" t="s">
        <v>22</v>
      </c>
      <c r="C18" s="28" t="s">
        <v>16</v>
      </c>
      <c r="D18" s="28" t="s">
        <v>17</v>
      </c>
    </row>
    <row r="19" spans="2:5" x14ac:dyDescent="0.3">
      <c r="B19" s="1">
        <f>'Estudiante 3'!$C$2</f>
        <v>0</v>
      </c>
      <c r="C19" s="29" t="str">
        <f>'Estudiante 3'!D$9</f>
        <v>Miguel Angel Caballero Garcia</v>
      </c>
      <c r="D19" s="30">
        <f>_xlfn.XLOOKUP($C$19,'Estudiante 3'!$D$9:$G$9,'Estudiante 3'!$D$7:$G$7,0,0,1)</f>
        <v>0</v>
      </c>
    </row>
    <row r="20" spans="2:5" x14ac:dyDescent="0.3">
      <c r="B20" s="28" t="s">
        <v>20</v>
      </c>
      <c r="C20" s="29">
        <f>'Estudiante 3'!E$9</f>
        <v>0</v>
      </c>
      <c r="D20" s="30">
        <f>_xlfn.XLOOKUP($C$20,'Estudiante 3'!$D$9:$G$9,'Estudiante 3'!$D$7:$G$7,0,0,1)</f>
        <v>0</v>
      </c>
    </row>
    <row r="21" spans="2:5" x14ac:dyDescent="0.3">
      <c r="B21" s="1">
        <f>'Estudiante 1'!$C$4</f>
        <v>0</v>
      </c>
      <c r="C21" s="29">
        <f>'Estudiante 3'!F$9</f>
        <v>0</v>
      </c>
      <c r="D21" s="30">
        <f>_xlfn.XLOOKUP($C$21,'Estudiante 3'!$D$9:$G$9,'Estudiante 3'!$D$7:$G$7,0,0,1)</f>
        <v>0</v>
      </c>
    </row>
    <row r="22" spans="2:5" x14ac:dyDescent="0.3">
      <c r="C22" s="29">
        <f>'Estudiante 3'!G$9</f>
        <v>0</v>
      </c>
      <c r="D22" s="30">
        <f>_xlfn.XLOOKUP($C$22,'Estudiante 3'!$D$9:$G$9,'Estudiante 3'!$D$7:$G$7,0,0,1)</f>
        <v>0</v>
      </c>
    </row>
    <row r="24" spans="2:5" ht="28.8" x14ac:dyDescent="0.3">
      <c r="B24" s="28" t="s">
        <v>22</v>
      </c>
      <c r="C24" s="28" t="s">
        <v>16</v>
      </c>
      <c r="D24" s="28" t="s">
        <v>17</v>
      </c>
    </row>
    <row r="25" spans="2:5" x14ac:dyDescent="0.3">
      <c r="B25" s="1">
        <f>'Estudiante 4'!$C$2</f>
        <v>0</v>
      </c>
      <c r="C25" s="29" t="str">
        <f>'Estudiante 4'!D$9</f>
        <v>Miguel Angel Caballero Garcia</v>
      </c>
      <c r="D25" s="30">
        <f>_xlfn.XLOOKUP($C$25,'Estudiante 4'!$D$9:$G$9,'Estudiante 4'!$D$7:$G$7,0,0,1)</f>
        <v>0</v>
      </c>
    </row>
    <row r="26" spans="2:5" x14ac:dyDescent="0.3">
      <c r="B26" s="28" t="s">
        <v>20</v>
      </c>
      <c r="C26" s="29">
        <f>'Estudiante 4'!E$9</f>
        <v>0</v>
      </c>
      <c r="D26" s="30">
        <f>_xlfn.XLOOKUP($C$26,'Estudiante 4'!$D$9:$G$9,'Estudiante 4'!$D$7:$G$7,0,0,1)</f>
        <v>0</v>
      </c>
      <c r="E26" s="24"/>
    </row>
    <row r="27" spans="2:5" x14ac:dyDescent="0.3">
      <c r="B27" s="1">
        <f>'Estudiante 1'!$C$4</f>
        <v>0</v>
      </c>
      <c r="C27" s="29">
        <f>'Estudiante 4'!F$9</f>
        <v>0</v>
      </c>
      <c r="D27" s="30">
        <f>_xlfn.XLOOKUP($C$27,'Estudiante 4'!$D$9:$G$9,'Estudiante 4'!$D$7:$G$7,0,0,1)</f>
        <v>0</v>
      </c>
      <c r="E27" s="24"/>
    </row>
    <row r="28" spans="2:5" x14ac:dyDescent="0.3">
      <c r="C28" s="29">
        <f>'Estudiante 4'!G$9</f>
        <v>0</v>
      </c>
      <c r="D28" s="30">
        <f>_xlfn.XLOOKUP($C$28,'Estudiante 4'!$D$9:$G$9,'Estudiante 4'!$D$7:$G$7,0,0,1)</f>
        <v>0</v>
      </c>
      <c r="E28" s="24"/>
    </row>
    <row r="30" spans="2:5" ht="28.8" x14ac:dyDescent="0.3">
      <c r="B30" s="28" t="s">
        <v>22</v>
      </c>
      <c r="C30" s="28" t="s">
        <v>16</v>
      </c>
      <c r="D30" s="28" t="s">
        <v>17</v>
      </c>
    </row>
    <row r="31" spans="2:5" x14ac:dyDescent="0.3">
      <c r="B31" s="1">
        <f>'Estudiante 5'!$C$2</f>
        <v>0</v>
      </c>
      <c r="C31" s="29" t="str">
        <f>'Estudiante 5'!D$9</f>
        <v>Miguel Angel Caballero Garcia</v>
      </c>
      <c r="D31" s="30">
        <f>_xlfn.XLOOKUP($C$31,'Estudiante 5'!$D$9:$G$9,'Estudiante 5'!$D$7:$G$7,0,0,1)</f>
        <v>0</v>
      </c>
    </row>
    <row r="32" spans="2:5" x14ac:dyDescent="0.3">
      <c r="B32" s="28" t="s">
        <v>20</v>
      </c>
      <c r="C32" s="29">
        <f>'Estudiante 5'!E$9</f>
        <v>0</v>
      </c>
      <c r="D32" s="30">
        <f>_xlfn.XLOOKUP($C$32,'Estudiante 5'!$D$9:$G$9,'Estudiante 5'!$D$7:$G$7,0,0,1)</f>
        <v>0</v>
      </c>
    </row>
    <row r="33" spans="2:4" x14ac:dyDescent="0.3">
      <c r="B33" s="1">
        <f>'Estudiante 1'!$C$4</f>
        <v>0</v>
      </c>
      <c r="C33" s="29">
        <f>'Estudiante 5'!F$9</f>
        <v>0</v>
      </c>
      <c r="D33" s="30">
        <f>_xlfn.XLOOKUP($C$33,'Estudiante 5'!$D$9:$G$9,'Estudiante 5'!$D$7:$G$7,0,0,1)</f>
        <v>0</v>
      </c>
    </row>
    <row r="34" spans="2:4" x14ac:dyDescent="0.3">
      <c r="C34" s="29">
        <f>'Estudiante 5'!G$9</f>
        <v>0</v>
      </c>
      <c r="D34" s="30">
        <f>_xlfn.XLOOKUP($C$34,'Estudiante 5'!$D$9:$G$9,'Estudiante 5'!$D$7:$G$7,0,0,1)</f>
        <v>0</v>
      </c>
    </row>
  </sheetData>
  <sheetProtection algorithmName="SHA-512" hashValue="1iZs9QC2E1HdeX5lc2OV5g0M1DJiaaCIViCm6HI5nkr959mMk1iAfs/0DTx++7Rixq95UPXXYSL4Qf62Qg1m8Q==" saltValue="bXkkWbfSTtnTkhco7JvpzQ==" spinCount="100000" sheet="1" objects="1" scenarios="1" formatCells="0" formatColumns="0" formatRows="0" insertColumns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del grupo</vt:lpstr>
      <vt:lpstr>Estudiante 1</vt:lpstr>
      <vt:lpstr>Estudiante 2</vt:lpstr>
      <vt:lpstr>Estudiante 3</vt:lpstr>
      <vt:lpstr>Estudiante 4</vt:lpstr>
      <vt:lpstr>Estudiante 5</vt:lpstr>
      <vt:lpstr>Hoja docente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Catalina Ruiz</dc:creator>
  <cp:keywords/>
  <dc:description/>
  <cp:lastModifiedBy>Miguel Angel Caballero Garcia</cp:lastModifiedBy>
  <cp:revision/>
  <dcterms:created xsi:type="dcterms:W3CDTF">2022-10-03T18:32:48Z</dcterms:created>
  <dcterms:modified xsi:type="dcterms:W3CDTF">2025-11-24T14:57:54Z</dcterms:modified>
  <cp:category/>
  <cp:contentStatus/>
</cp:coreProperties>
</file>